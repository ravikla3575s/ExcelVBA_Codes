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yoshipc/Documents/GitHub/Excel-VBA/保険請求管理報告書/ProcessCSVmacro/"/>
    </mc:Choice>
  </mc:AlternateContent>
  <xr:revisionPtr revIDLastSave="0" documentId="8_{7BB61E7E-E63E-304B-A8D3-874D42252F3B}" xr6:coauthVersionLast="47" xr6:coauthVersionMax="47" xr10:uidLastSave="{00000000-0000-0000-0000-000000000000}"/>
  <bookViews>
    <workbookView xWindow="0" yWindow="740" windowWidth="14700" windowHeight="18380" activeTab="1" xr2:uid="{9CAA36F5-72ED-9144-8A19-3B264CD6E8C5}"/>
  </bookViews>
  <sheets>
    <sheet name="保険請求管理報告書A" sheetId="1" r:id="rId1"/>
    <sheet name="保険請求管理報告書B" sheetId="2" r:id="rId2"/>
  </sheets>
  <functionGroups builtInGroupCount="19"/>
  <definedNames>
    <definedName name="_xlnm.Print_Area" localSheetId="0">保険請求管理報告書A!$A$1:$K$29</definedName>
    <definedName name="_xlnm.Print_Titles" localSheetId="1">保険請求管理報告書B!$4:$5</definedName>
    <definedName name="返戻・未請求扱い">#REF!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2" l="1"/>
  <c r="E19" i="1"/>
  <c r="L77" i="2"/>
  <c r="L78" i="2" s="1"/>
  <c r="J17" i="1" s="1"/>
  <c r="L76" i="2"/>
  <c r="L74" i="2"/>
  <c r="L73" i="2"/>
  <c r="L72" i="2"/>
  <c r="L71" i="2"/>
  <c r="L70" i="2"/>
  <c r="L69" i="2"/>
  <c r="L75" i="2" s="1"/>
  <c r="J16" i="1" s="1"/>
  <c r="L67" i="2"/>
  <c r="L66" i="2"/>
  <c r="L65" i="2"/>
  <c r="L64" i="2"/>
  <c r="L63" i="2"/>
  <c r="L62" i="2"/>
  <c r="L68" i="2" s="1"/>
  <c r="J15" i="1" s="1"/>
  <c r="L60" i="2"/>
  <c r="L59" i="2"/>
  <c r="L61" i="2" s="1"/>
  <c r="J14" i="1" s="1"/>
  <c r="L58" i="2"/>
  <c r="L57" i="2"/>
  <c r="L56" i="2"/>
  <c r="L55" i="2"/>
  <c r="L53" i="2"/>
  <c r="L52" i="2"/>
  <c r="L51" i="2"/>
  <c r="L50" i="2"/>
  <c r="L49" i="2"/>
  <c r="L48" i="2"/>
  <c r="L46" i="2"/>
  <c r="L45" i="2"/>
  <c r="L44" i="2"/>
  <c r="L47" i="2" s="1"/>
  <c r="J12" i="1" s="1"/>
  <c r="L43" i="2"/>
  <c r="L42" i="2"/>
  <c r="L41" i="2"/>
  <c r="L38" i="2"/>
  <c r="L37" i="2"/>
  <c r="L36" i="2"/>
  <c r="L39" i="2" s="1"/>
  <c r="L35" i="2"/>
  <c r="L33" i="2"/>
  <c r="L32" i="2"/>
  <c r="L31" i="2"/>
  <c r="L30" i="2"/>
  <c r="K27" i="2"/>
  <c r="K26" i="2"/>
  <c r="K28" i="2" s="1"/>
  <c r="K25" i="2"/>
  <c r="K24" i="2"/>
  <c r="K22" i="2"/>
  <c r="K21" i="2"/>
  <c r="K20" i="2"/>
  <c r="K19" i="2"/>
  <c r="K16" i="2"/>
  <c r="K15" i="2"/>
  <c r="K14" i="2"/>
  <c r="K13" i="2"/>
  <c r="K17" i="2" s="1"/>
  <c r="K11" i="2"/>
  <c r="K10" i="2"/>
  <c r="K9" i="2"/>
  <c r="K8" i="2"/>
  <c r="J1" i="2"/>
  <c r="L1" i="2"/>
  <c r="K12" i="2"/>
  <c r="L54" i="2" l="1"/>
  <c r="J13" i="1" s="1"/>
  <c r="K23" i="2"/>
  <c r="K18" i="2"/>
  <c r="D18" i="1" s="1"/>
  <c r="D19" i="1" s="1"/>
  <c r="J19" i="1" s="1"/>
  <c r="J4" i="1" s="1"/>
  <c r="K29" i="2"/>
  <c r="D15" i="1" s="1"/>
  <c r="L34" i="2"/>
  <c r="K79" i="2" l="1"/>
  <c r="L40" i="2"/>
  <c r="D16" i="1" s="1"/>
  <c r="D17" i="1" s="1"/>
  <c r="J6" i="1" s="1"/>
  <c r="J11" i="1" s="1"/>
  <c r="L80"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16117C7E-5E69-4D43-A191-BBEB78BDAD18}">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52A153CA-B88E-2042-97B3-6FCE9EEA2DA9}">
      <text>
        <r>
          <rPr>
            <sz val="9"/>
            <color indexed="81"/>
            <rFont val="游ゴシック Light"/>
            <family val="3"/>
            <charset val="128"/>
            <scheme val="major"/>
          </rPr>
          <t>前月以前の未請求を当月請求したものを記載してください。</t>
        </r>
      </text>
    </comment>
    <comment ref="A30" authorId="0" shapeId="0" xr:uid="{6813FAC0-F983-124E-95A0-09169C382A8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sharedStrings.xml><?xml version="1.0" encoding="utf-8"?>
<sst xmlns="http://schemas.openxmlformats.org/spreadsheetml/2006/main" count="116" uniqueCount="97">
  <si>
    <r>
      <t xml:space="preserve">保険請求管理報告書A（入金額算出と検証） </t>
    </r>
    <r>
      <rPr>
        <b/>
        <u/>
        <sz val="8"/>
        <rFont val="MS UI Gothic"/>
        <family val="3"/>
        <charset val="128"/>
      </rPr>
      <t>2023年1月版</t>
    </r>
    <rPh sb="0" eb="2">
      <t>ホケン</t>
    </rPh>
    <rPh sb="2" eb="4">
      <t>セイキュウ</t>
    </rPh>
    <rPh sb="4" eb="5">
      <t>カン</t>
    </rPh>
    <rPh sb="5" eb="6">
      <t>リ</t>
    </rPh>
    <rPh sb="6" eb="7">
      <t>ホウ</t>
    </rPh>
    <rPh sb="7" eb="8">
      <t>コク</t>
    </rPh>
    <rPh sb="8" eb="9">
      <t>ショ</t>
    </rPh>
    <rPh sb="11" eb="13">
      <t>ニュウキン</t>
    </rPh>
    <rPh sb="13" eb="14">
      <t>ガク</t>
    </rPh>
    <rPh sb="14" eb="16">
      <t>サンシュツ</t>
    </rPh>
    <rPh sb="17" eb="19">
      <t>ケンショウ</t>
    </rPh>
    <rPh sb="25" eb="26">
      <t>ネン</t>
    </rPh>
    <rPh sb="27" eb="28">
      <t>ガツ</t>
    </rPh>
    <rPh sb="28" eb="29">
      <t>バン</t>
    </rPh>
    <phoneticPr fontId="6"/>
  </si>
  <si>
    <t>4月10日請求分</t>
    <rPh sb="1" eb="2">
      <t>ツキ</t>
    </rPh>
    <rPh sb="4" eb="5">
      <t>ヒ</t>
    </rPh>
    <rPh sb="5" eb="7">
      <t>セイキュウ</t>
    </rPh>
    <rPh sb="7" eb="8">
      <t>フン</t>
    </rPh>
    <phoneticPr fontId="6"/>
  </si>
  <si>
    <t>① 調剤報酬集計表</t>
    <rPh sb="8" eb="9">
      <t>ヒョウ</t>
    </rPh>
    <phoneticPr fontId="6"/>
  </si>
  <si>
    <t>⑲最終不明金　</t>
    <rPh sb="1" eb="3">
      <t>サイシュウ</t>
    </rPh>
    <rPh sb="3" eb="6">
      <t>フメイキン</t>
    </rPh>
    <phoneticPr fontId="6"/>
  </si>
  <si>
    <t>② 請求確定表</t>
    <rPh sb="2" eb="4">
      <t>セイキュウ</t>
    </rPh>
    <rPh sb="4" eb="6">
      <t>カクテイ</t>
    </rPh>
    <rPh sb="6" eb="7">
      <t>ヒョウ</t>
    </rPh>
    <phoneticPr fontId="6"/>
  </si>
  <si>
    <t>③入金額</t>
    <rPh sb="1" eb="3">
      <t>ニュウキン</t>
    </rPh>
    <rPh sb="3" eb="4">
      <t>ガク</t>
    </rPh>
    <phoneticPr fontId="6"/>
  </si>
  <si>
    <t>差　額　［⑧-①］</t>
    <rPh sb="0" eb="1">
      <t>サ</t>
    </rPh>
    <phoneticPr fontId="6"/>
  </si>
  <si>
    <t>社保請求</t>
    <rPh sb="0" eb="1">
      <t>シャ</t>
    </rPh>
    <rPh sb="1" eb="2">
      <t>ホ</t>
    </rPh>
    <rPh sb="2" eb="4">
      <t>セイキュウ</t>
    </rPh>
    <phoneticPr fontId="6"/>
  </si>
  <si>
    <t>理由</t>
    <rPh sb="0" eb="2">
      <t>リユウ</t>
    </rPh>
    <phoneticPr fontId="6"/>
  </si>
  <si>
    <t>④前月以前分を、当月（1日～末日）の間に修正
（保険変更・加算変更等）</t>
    <rPh sb="8" eb="10">
      <t>トウゲツ</t>
    </rPh>
    <rPh sb="11" eb="13">
      <t>ツイタチ</t>
    </rPh>
    <rPh sb="14" eb="16">
      <t>マツジツ</t>
    </rPh>
    <rPh sb="18" eb="19">
      <t>アイダ</t>
    </rPh>
    <rPh sb="20" eb="22">
      <t>シュウセイ</t>
    </rPh>
    <rPh sb="23" eb="25">
      <t>ホケン</t>
    </rPh>
    <rPh sb="25" eb="27">
      <t>ヘンコウ</t>
    </rPh>
    <rPh sb="28" eb="30">
      <t>カサン</t>
    </rPh>
    <rPh sb="30" eb="32">
      <t>ヘンコウ</t>
    </rPh>
    <rPh sb="32" eb="33">
      <t>トウ</t>
    </rPh>
    <phoneticPr fontId="6"/>
  </si>
  <si>
    <t>国保請求</t>
    <rPh sb="0" eb="2">
      <t>コクホ</t>
    </rPh>
    <rPh sb="2" eb="4">
      <t>セイキュウ</t>
    </rPh>
    <phoneticPr fontId="6"/>
  </si>
  <si>
    <t>⑤当月分を、当月末締め後～請求までの間に修正
（保険変更・加算変更等）</t>
    <rPh sb="1" eb="4">
      <t>トウゲツブン</t>
    </rPh>
    <rPh sb="6" eb="7">
      <t>トウ</t>
    </rPh>
    <rPh sb="20" eb="22">
      <t>シュウセイ</t>
    </rPh>
    <rPh sb="24" eb="26">
      <t>ホケン</t>
    </rPh>
    <rPh sb="26" eb="28">
      <t>ヘンコウ</t>
    </rPh>
    <rPh sb="29" eb="31">
      <t>カサン</t>
    </rPh>
    <rPh sb="31" eb="33">
      <t>ヘンコウ</t>
    </rPh>
    <rPh sb="33" eb="34">
      <t>トウ</t>
    </rPh>
    <phoneticPr fontId="6"/>
  </si>
  <si>
    <t>連記請求</t>
    <rPh sb="0" eb="2">
      <t>レンキ</t>
    </rPh>
    <rPh sb="2" eb="4">
      <t>セイキュウ</t>
    </rPh>
    <phoneticPr fontId="6"/>
  </si>
  <si>
    <t>⑥その他1(                                       )</t>
    <rPh sb="3" eb="4">
      <t>タ</t>
    </rPh>
    <phoneticPr fontId="6"/>
  </si>
  <si>
    <t>労災請求</t>
    <rPh sb="0" eb="2">
      <t>ロウサイ</t>
    </rPh>
    <rPh sb="2" eb="4">
      <t>セイキュウ</t>
    </rPh>
    <phoneticPr fontId="6"/>
  </si>
  <si>
    <t>⑦その他2(                                       )</t>
    <rPh sb="3" eb="4">
      <t>タ</t>
    </rPh>
    <phoneticPr fontId="6"/>
  </si>
  <si>
    <t>公害請求</t>
    <rPh sb="0" eb="2">
      <t>コウガイ</t>
    </rPh>
    <rPh sb="2" eb="4">
      <t>セイキュウ</t>
    </rPh>
    <phoneticPr fontId="6"/>
  </si>
  <si>
    <t>不明金　［差額－（④＋⑤＋⑥＋⑦）］</t>
    <rPh sb="0" eb="3">
      <t>フメイキン</t>
    </rPh>
    <rPh sb="5" eb="7">
      <t>サガク</t>
    </rPh>
    <phoneticPr fontId="6"/>
  </si>
  <si>
    <t>自賠請求</t>
    <rPh sb="0" eb="2">
      <t>ジバイ</t>
    </rPh>
    <rPh sb="2" eb="4">
      <t>セイキュウ</t>
    </rPh>
    <phoneticPr fontId="6"/>
  </si>
  <si>
    <t>※シートBに入力すると自動計算される</t>
    <phoneticPr fontId="6"/>
  </si>
  <si>
    <t>⑫医保　返　戻　・　査　定</t>
    <rPh sb="4" eb="5">
      <t>ヘン</t>
    </rPh>
    <rPh sb="6" eb="7">
      <t>モドリ</t>
    </rPh>
    <rPh sb="10" eb="11">
      <t>サ</t>
    </rPh>
    <rPh sb="12" eb="13">
      <t>サダム</t>
    </rPh>
    <phoneticPr fontId="6"/>
  </si>
  <si>
    <t>介護請求</t>
    <rPh sb="0" eb="2">
      <t>カイゴ</t>
    </rPh>
    <rPh sb="2" eb="4">
      <t>セイキュウ</t>
    </rPh>
    <phoneticPr fontId="6"/>
  </si>
  <si>
    <t>⑬医保　未請求扱い</t>
    <rPh sb="4" eb="7">
      <t>ミセイキュウ</t>
    </rPh>
    <rPh sb="7" eb="8">
      <t>アツカ</t>
    </rPh>
    <phoneticPr fontId="6"/>
  </si>
  <si>
    <t>その他（　　　　　　　　）</t>
    <rPh sb="2" eb="3">
      <t>タ</t>
    </rPh>
    <phoneticPr fontId="6"/>
  </si>
  <si>
    <t>⑭国保　返　戻　・　査　定</t>
    <rPh sb="4" eb="5">
      <t>ヘン</t>
    </rPh>
    <rPh sb="6" eb="7">
      <t>モドリ</t>
    </rPh>
    <rPh sb="10" eb="11">
      <t>サ</t>
    </rPh>
    <rPh sb="12" eb="13">
      <t>サダム</t>
    </rPh>
    <phoneticPr fontId="6"/>
  </si>
  <si>
    <t>⑩月遅れ請求分（再掲・合計）</t>
    <rPh sb="1" eb="3">
      <t>ツキオク</t>
    </rPh>
    <rPh sb="4" eb="6">
      <t>セイキュウ</t>
    </rPh>
    <rPh sb="6" eb="7">
      <t>フン</t>
    </rPh>
    <rPh sb="8" eb="10">
      <t>サイケイ</t>
    </rPh>
    <rPh sb="11" eb="13">
      <t>ゴウケイ</t>
    </rPh>
    <phoneticPr fontId="6"/>
  </si>
  <si>
    <t>※シートBに入力すると
自動計算される</t>
  </si>
  <si>
    <t>⑮国保　未請求扱い</t>
    <rPh sb="4" eb="7">
      <t>ミセイキュウ</t>
    </rPh>
    <rPh sb="7" eb="8">
      <t>アツカ</t>
    </rPh>
    <phoneticPr fontId="6"/>
  </si>
  <si>
    <t>⑪月送り分（合計）</t>
    <rPh sb="1" eb="2">
      <t>ツキ</t>
    </rPh>
    <rPh sb="2" eb="3">
      <t>オク</t>
    </rPh>
    <rPh sb="4" eb="5">
      <t>フン</t>
    </rPh>
    <rPh sb="6" eb="8">
      <t>ゴウケイ</t>
    </rPh>
    <phoneticPr fontId="6"/>
  </si>
  <si>
    <t>⑯介護　返　戻　・　保　留</t>
    <rPh sb="1" eb="3">
      <t>カイゴ</t>
    </rPh>
    <rPh sb="4" eb="5">
      <t>カエ</t>
    </rPh>
    <rPh sb="6" eb="7">
      <t>モドリ</t>
    </rPh>
    <rPh sb="10" eb="11">
      <t>ホ</t>
    </rPh>
    <rPh sb="12" eb="13">
      <t>トメ</t>
    </rPh>
    <phoneticPr fontId="6"/>
  </si>
  <si>
    <t>⑧当月調剤分の請求予定額</t>
    <rPh sb="1" eb="3">
      <t>トウゲツ</t>
    </rPh>
    <rPh sb="3" eb="5">
      <t>チョウザイ</t>
    </rPh>
    <rPh sb="5" eb="6">
      <t>ブン</t>
    </rPh>
    <rPh sb="7" eb="9">
      <t>セイキュウ</t>
    </rPh>
    <rPh sb="9" eb="11">
      <t>ヨテイ</t>
    </rPh>
    <rPh sb="11" eb="12">
      <t>ガク</t>
    </rPh>
    <phoneticPr fontId="6"/>
  </si>
  <si>
    <t>⑰その他（　　　　　　　　　　　　　　　　）</t>
    <rPh sb="3" eb="4">
      <t>タ</t>
    </rPh>
    <phoneticPr fontId="6"/>
  </si>
  <si>
    <t>⑨返戻再請求分（合計）</t>
    <rPh sb="1" eb="3">
      <t>ヘンレイ</t>
    </rPh>
    <rPh sb="3" eb="4">
      <t>サイ</t>
    </rPh>
    <rPh sb="4" eb="6">
      <t>セイキュウ</t>
    </rPh>
    <rPh sb="6" eb="7">
      <t>フン</t>
    </rPh>
    <rPh sb="8" eb="10">
      <t>ゴウケイ</t>
    </rPh>
    <phoneticPr fontId="6"/>
  </si>
  <si>
    <t>※シートBに入力すると
自動計算される</t>
    <phoneticPr fontId="6"/>
  </si>
  <si>
    <r>
      <t>⑱ 調剤報酬以外の入出金　※</t>
    </r>
    <r>
      <rPr>
        <b/>
        <sz val="8"/>
        <color rgb="FF0000FF"/>
        <rFont val="MS UI Gothic"/>
        <family val="3"/>
        <charset val="128"/>
      </rPr>
      <t>事務手数料</t>
    </r>
    <r>
      <rPr>
        <sz val="8"/>
        <rFont val="MS UI Gothic"/>
        <family val="3"/>
        <charset val="128"/>
      </rPr>
      <t>や電子証明書更新料等
　　（　　　　　　　　　　　　　　　）</t>
    </r>
    <phoneticPr fontId="6"/>
  </si>
  <si>
    <t>請求合計</t>
    <rPh sb="0" eb="2">
      <t>セイキュウ</t>
    </rPh>
    <rPh sb="2" eb="4">
      <t>ゴウケイ</t>
    </rPh>
    <phoneticPr fontId="6"/>
  </si>
  <si>
    <t>入金されるべき計</t>
    <rPh sb="0" eb="2">
      <t>ニュウキン</t>
    </rPh>
    <rPh sb="7" eb="8">
      <t>ケイ</t>
    </rPh>
    <phoneticPr fontId="6"/>
  </si>
  <si>
    <t>保険請求管理報告書B（未請求金管理）</t>
    <rPh sb="0" eb="2">
      <t>ホケン</t>
    </rPh>
    <rPh sb="2" eb="4">
      <t>セイキュウ</t>
    </rPh>
    <rPh sb="4" eb="6">
      <t>カンリ</t>
    </rPh>
    <rPh sb="6" eb="9">
      <t>ホウコクショ</t>
    </rPh>
    <rPh sb="11" eb="14">
      <t>ミセイキュウ</t>
    </rPh>
    <rPh sb="14" eb="16">
      <t>キンカン</t>
    </rPh>
    <rPh sb="16" eb="17">
      <t>リ</t>
    </rPh>
    <phoneticPr fontId="6"/>
  </si>
  <si>
    <t>※「保険請求管理報告書A」の、項目⑨～⑰の根拠を明確にするために使用して下さい。</t>
    <rPh sb="2" eb="4">
      <t>ホケン</t>
    </rPh>
    <rPh sb="4" eb="6">
      <t>セイキュウ</t>
    </rPh>
    <rPh sb="6" eb="8">
      <t>カンリ</t>
    </rPh>
    <rPh sb="8" eb="11">
      <t>ホウコクショ</t>
    </rPh>
    <rPh sb="15" eb="17">
      <t>コウモク</t>
    </rPh>
    <rPh sb="21" eb="23">
      <t>コンキョ</t>
    </rPh>
    <rPh sb="24" eb="26">
      <t>メイカク</t>
    </rPh>
    <rPh sb="32" eb="34">
      <t>シヨウ</t>
    </rPh>
    <rPh sb="36" eb="37">
      <t>クダ</t>
    </rPh>
    <phoneticPr fontId="6"/>
  </si>
  <si>
    <t>　なお、提出する報告書からは患者氏名を消してください。</t>
    <phoneticPr fontId="6"/>
  </si>
  <si>
    <t>区分</t>
    <rPh sb="0" eb="2">
      <t>クブン</t>
    </rPh>
    <phoneticPr fontId="6"/>
  </si>
  <si>
    <t>患者番号</t>
    <rPh sb="0" eb="2">
      <t>カンジャ</t>
    </rPh>
    <rPh sb="2" eb="4">
      <t>バンゴウ</t>
    </rPh>
    <phoneticPr fontId="6"/>
  </si>
  <si>
    <t>※患者氏名
（提出時消去）</t>
    <rPh sb="1" eb="3">
      <t>カンジャ</t>
    </rPh>
    <rPh sb="3" eb="5">
      <t>シメイ</t>
    </rPh>
    <rPh sb="7" eb="9">
      <t>テイシュツ</t>
    </rPh>
    <rPh sb="9" eb="10">
      <t>ジ</t>
    </rPh>
    <rPh sb="10" eb="12">
      <t>ショウキョ</t>
    </rPh>
    <phoneticPr fontId="6"/>
  </si>
  <si>
    <t>調剤月</t>
    <rPh sb="0" eb="2">
      <t>チョウザイ</t>
    </rPh>
    <rPh sb="2" eb="3">
      <t>ヅキ</t>
    </rPh>
    <phoneticPr fontId="6"/>
  </si>
  <si>
    <t>医療機関</t>
    <rPh sb="0" eb="2">
      <t>イリョウ</t>
    </rPh>
    <rPh sb="2" eb="4">
      <t>キカン</t>
    </rPh>
    <phoneticPr fontId="6"/>
  </si>
  <si>
    <t>請求先</t>
    <rPh sb="0" eb="2">
      <t>セイキュウ</t>
    </rPh>
    <rPh sb="2" eb="3">
      <t>サキ</t>
    </rPh>
    <phoneticPr fontId="6"/>
  </si>
  <si>
    <t>請求割合</t>
    <rPh sb="0" eb="2">
      <t>セイキュウ</t>
    </rPh>
    <rPh sb="2" eb="4">
      <t>ワリアイ</t>
    </rPh>
    <phoneticPr fontId="6"/>
  </si>
  <si>
    <t>請求
点数</t>
    <rPh sb="0" eb="2">
      <t>セイキュウ</t>
    </rPh>
    <rPh sb="3" eb="5">
      <t>テンスウ</t>
    </rPh>
    <phoneticPr fontId="6"/>
  </si>
  <si>
    <t>請求金額 (円)</t>
    <rPh sb="0" eb="2">
      <t>セイキュウ</t>
    </rPh>
    <rPh sb="2" eb="4">
      <t>キンガク</t>
    </rPh>
    <rPh sb="6" eb="7">
      <t>エン</t>
    </rPh>
    <phoneticPr fontId="6"/>
  </si>
  <si>
    <t>請求予定</t>
    <rPh sb="0" eb="2">
      <t>セイキュウ</t>
    </rPh>
    <rPh sb="2" eb="4">
      <t>ヨテイ</t>
    </rPh>
    <phoneticPr fontId="6"/>
  </si>
  <si>
    <t>当月請求</t>
    <rPh sb="0" eb="2">
      <t>トウゲツ</t>
    </rPh>
    <rPh sb="2" eb="4">
      <t>セイキュウ</t>
    </rPh>
    <phoneticPr fontId="6"/>
  </si>
  <si>
    <t>次月以降</t>
    <rPh sb="0" eb="2">
      <t>ジゲツ</t>
    </rPh>
    <rPh sb="2" eb="4">
      <t>イコウ</t>
    </rPh>
    <phoneticPr fontId="6"/>
  </si>
  <si>
    <t>例</t>
    <rPh sb="0" eb="1">
      <t>レイ</t>
    </rPh>
    <phoneticPr fontId="6"/>
  </si>
  <si>
    <t>33333</t>
    <phoneticPr fontId="6"/>
  </si>
  <si>
    <t>16.12</t>
    <phoneticPr fontId="6"/>
  </si>
  <si>
    <t>A医院</t>
    <rPh sb="1" eb="3">
      <t>イイン</t>
    </rPh>
    <phoneticPr fontId="6"/>
  </si>
  <si>
    <t>記号・番号誤り</t>
    <rPh sb="0" eb="2">
      <t>キゴウ</t>
    </rPh>
    <rPh sb="3" eb="5">
      <t>バンゴウ</t>
    </rPh>
    <rPh sb="5" eb="6">
      <t>アヤマ</t>
    </rPh>
    <phoneticPr fontId="6"/>
  </si>
  <si>
    <t>医本→医本</t>
    <rPh sb="0" eb="1">
      <t>イ</t>
    </rPh>
    <rPh sb="1" eb="2">
      <t>ホン</t>
    </rPh>
    <rPh sb="3" eb="4">
      <t>イ</t>
    </rPh>
    <rPh sb="4" eb="5">
      <t>ホン</t>
    </rPh>
    <phoneticPr fontId="6"/>
  </si>
  <si>
    <t>4/1現在連絡とれず</t>
    <rPh sb="3" eb="5">
      <t>ゲンザイ</t>
    </rPh>
    <rPh sb="5" eb="7">
      <t>レンラク</t>
    </rPh>
    <phoneticPr fontId="6"/>
  </si>
  <si>
    <t>12345</t>
    <phoneticPr fontId="6"/>
  </si>
  <si>
    <t>17.02</t>
    <phoneticPr fontId="6"/>
  </si>
  <si>
    <t>B医院</t>
    <rPh sb="1" eb="3">
      <t>イイン</t>
    </rPh>
    <phoneticPr fontId="6"/>
  </si>
  <si>
    <t>保険変更</t>
    <rPh sb="0" eb="2">
      <t>ホケン</t>
    </rPh>
    <rPh sb="2" eb="4">
      <t>ヘンコウ</t>
    </rPh>
    <phoneticPr fontId="6"/>
  </si>
  <si>
    <t>国家→医本</t>
    <rPh sb="0" eb="2">
      <t>コッカ</t>
    </rPh>
    <rPh sb="3" eb="4">
      <t>イ</t>
    </rPh>
    <rPh sb="4" eb="5">
      <t>ボン</t>
    </rPh>
    <phoneticPr fontId="6"/>
  </si>
  <si>
    <t>5/10</t>
    <phoneticPr fontId="6"/>
  </si>
  <si>
    <t>⑨返戻再請求分</t>
    <rPh sb="6" eb="7">
      <t>フン</t>
    </rPh>
    <phoneticPr fontId="6"/>
  </si>
  <si>
    <t>医保</t>
    <rPh sb="0" eb="1">
      <t>イ</t>
    </rPh>
    <rPh sb="1" eb="2">
      <t>ホ</t>
    </rPh>
    <phoneticPr fontId="6"/>
  </si>
  <si>
    <t>⑨返戻分再請求分（医保）</t>
    <rPh sb="7" eb="8">
      <t>フン</t>
    </rPh>
    <rPh sb="9" eb="10">
      <t>イ</t>
    </rPh>
    <rPh sb="10" eb="11">
      <t>ホ</t>
    </rPh>
    <phoneticPr fontId="6"/>
  </si>
  <si>
    <t>小計</t>
    <rPh sb="0" eb="2">
      <t>ショウケイ</t>
    </rPh>
    <phoneticPr fontId="6"/>
  </si>
  <si>
    <t>国保</t>
    <rPh sb="0" eb="2">
      <t>コクホ</t>
    </rPh>
    <phoneticPr fontId="6"/>
  </si>
  <si>
    <t>⑨返戻分再請求分（国保）</t>
    <rPh sb="7" eb="8">
      <t>フン</t>
    </rPh>
    <rPh sb="9" eb="10">
      <t>クニ</t>
    </rPh>
    <rPh sb="10" eb="11">
      <t>ホ</t>
    </rPh>
    <phoneticPr fontId="6"/>
  </si>
  <si>
    <t>⑨返戻分再請求分</t>
    <rPh sb="7" eb="8">
      <t>フン</t>
    </rPh>
    <phoneticPr fontId="6"/>
  </si>
  <si>
    <t>合計</t>
    <rPh sb="0" eb="2">
      <t>ゴウケイ</t>
    </rPh>
    <phoneticPr fontId="6"/>
  </si>
  <si>
    <t>⑩月遅れ請求分</t>
    <rPh sb="6" eb="7">
      <t>フン</t>
    </rPh>
    <phoneticPr fontId="6"/>
  </si>
  <si>
    <t>⑩月遅れ請求分（医保）</t>
    <rPh sb="6" eb="7">
      <t>フン</t>
    </rPh>
    <rPh sb="8" eb="9">
      <t>イ</t>
    </rPh>
    <rPh sb="9" eb="10">
      <t>ホ</t>
    </rPh>
    <phoneticPr fontId="6"/>
  </si>
  <si>
    <t>⑩月遅れ請求分（国保）</t>
    <rPh sb="6" eb="7">
      <t>フン</t>
    </rPh>
    <rPh sb="8" eb="9">
      <t>クニ</t>
    </rPh>
    <rPh sb="9" eb="10">
      <t>ホ</t>
    </rPh>
    <phoneticPr fontId="6"/>
  </si>
  <si>
    <t>⑩月遅れ請求分</t>
    <phoneticPr fontId="6"/>
  </si>
  <si>
    <t>⑪月送り分</t>
    <rPh sb="1" eb="3">
      <t>ツキオク</t>
    </rPh>
    <rPh sb="4" eb="5">
      <t>フン</t>
    </rPh>
    <phoneticPr fontId="6"/>
  </si>
  <si>
    <t>⑪月送り分（医保）</t>
    <rPh sb="1" eb="2">
      <t>ツキ</t>
    </rPh>
    <rPh sb="2" eb="3">
      <t>オク</t>
    </rPh>
    <rPh sb="4" eb="5">
      <t>フン</t>
    </rPh>
    <rPh sb="6" eb="7">
      <t>イ</t>
    </rPh>
    <rPh sb="7" eb="8">
      <t>ホ</t>
    </rPh>
    <phoneticPr fontId="6"/>
  </si>
  <si>
    <t>⑪月送り分（国保）</t>
    <rPh sb="6" eb="7">
      <t>クニ</t>
    </rPh>
    <rPh sb="7" eb="8">
      <t>ホ</t>
    </rPh>
    <phoneticPr fontId="6"/>
  </si>
  <si>
    <t>⑪月送り分</t>
    <phoneticPr fontId="6"/>
  </si>
  <si>
    <t>⑫医保　返戻・査定</t>
    <rPh sb="1" eb="2">
      <t>イ</t>
    </rPh>
    <rPh sb="2" eb="3">
      <t>ホ</t>
    </rPh>
    <phoneticPr fontId="6"/>
  </si>
  <si>
    <t>⑪社保　返戻・査定</t>
    <rPh sb="1" eb="3">
      <t>シャホ</t>
    </rPh>
    <phoneticPr fontId="6"/>
  </si>
  <si>
    <t>⑬医保　未請求扱い</t>
    <rPh sb="1" eb="2">
      <t>イ</t>
    </rPh>
    <rPh sb="2" eb="3">
      <t>ホ</t>
    </rPh>
    <phoneticPr fontId="6"/>
  </si>
  <si>
    <t>⑫社保　未請求扱い</t>
    <rPh sb="1" eb="3">
      <t>シャホ</t>
    </rPh>
    <phoneticPr fontId="6"/>
  </si>
  <si>
    <t>⑭国保 返戻・査定</t>
    <rPh sb="1" eb="3">
      <t>コクホ</t>
    </rPh>
    <phoneticPr fontId="6"/>
  </si>
  <si>
    <t>⑬国保　返戻・査定</t>
    <rPh sb="1" eb="3">
      <t>コクホ</t>
    </rPh>
    <phoneticPr fontId="6"/>
  </si>
  <si>
    <t>⑮国保　未請求扱い</t>
    <rPh sb="1" eb="3">
      <t>コクホ</t>
    </rPh>
    <phoneticPr fontId="6"/>
  </si>
  <si>
    <t>⑭国保　未請求扱い</t>
    <rPh sb="1" eb="3">
      <t>コクホ</t>
    </rPh>
    <phoneticPr fontId="6"/>
  </si>
  <si>
    <t>⑯介護　返戻・保留</t>
    <rPh sb="4" eb="6">
      <t>ヘンレイ</t>
    </rPh>
    <rPh sb="7" eb="9">
      <t>ホリュウ</t>
    </rPh>
    <phoneticPr fontId="6"/>
  </si>
  <si>
    <t>⑮介護　返戻・保留</t>
    <rPh sb="1" eb="3">
      <t>カイゴ</t>
    </rPh>
    <rPh sb="4" eb="6">
      <t>ヘンレイ</t>
    </rPh>
    <rPh sb="7" eb="9">
      <t>ホリュウ</t>
    </rPh>
    <phoneticPr fontId="6"/>
  </si>
  <si>
    <t>⑰その他</t>
    <rPh sb="3" eb="4">
      <t>タ</t>
    </rPh>
    <phoneticPr fontId="6"/>
  </si>
  <si>
    <t xml:space="preserve"> 　⑯その他</t>
    <rPh sb="5" eb="6">
      <t>タ</t>
    </rPh>
    <phoneticPr fontId="6"/>
  </si>
  <si>
    <t>　　　　　　　当月請求合計</t>
    <rPh sb="7" eb="9">
      <t>トウゲツ</t>
    </rPh>
    <rPh sb="9" eb="11">
      <t>セイキュウ</t>
    </rPh>
    <rPh sb="11" eb="13">
      <t>ゴウケイ</t>
    </rPh>
    <phoneticPr fontId="6"/>
  </si>
  <si>
    <t>　　　　　　　未請求金合計</t>
    <rPh sb="7" eb="10">
      <t>ミセイキュウ</t>
    </rPh>
    <rPh sb="10" eb="11">
      <t>キン</t>
    </rPh>
    <rPh sb="11" eb="13">
      <t>ゴウケイ</t>
    </rPh>
    <phoneticPr fontId="6"/>
  </si>
  <si>
    <t>2024年3月調剤分</t>
  </si>
  <si>
    <t>神居３条店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</si>
</sst>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2"/>
      <color theme="1"/>
      <name val="游ゴシック"/>
      <family val="2"/>
      <charset val="128"/>
      <scheme val="minor"/>
    </font>
    <font>
      <sz val="11"/>
      <name val="ＭＳ Ｐゴシック"/>
      <family val="3"/>
      <charset val="128"/>
    </font>
    <font>
      <sz val="11"/>
      <name val="MS UI Gothic"/>
      <family val="3"/>
      <charset val="128"/>
    </font>
    <font>
      <sz val="6"/>
      <name val="游ゴシック"/>
      <family val="2"/>
      <charset val="128"/>
      <scheme val="minor"/>
    </font>
    <font>
      <b/>
      <u/>
      <sz val="16"/>
      <name val="MS UI Gothic"/>
      <family val="3"/>
      <charset val="128"/>
    </font>
    <font>
      <b/>
      <u/>
      <sz val="8"/>
      <name val="MS UI Gothic"/>
      <family val="3"/>
      <charset val="128"/>
    </font>
    <font>
      <sz val="6"/>
      <name val="ＭＳ Ｐゴシック"/>
      <family val="3"/>
      <charset val="128"/>
    </font>
    <font>
      <sz val="12"/>
      <color theme="1"/>
      <name val="MS UI Gothic"/>
      <family val="3"/>
      <charset val="128"/>
    </font>
    <font>
      <sz val="12"/>
      <name val="MS UI Gothic"/>
      <family val="3"/>
      <charset val="128"/>
    </font>
    <font>
      <b/>
      <u/>
      <sz val="24"/>
      <name val="MS UI Gothic"/>
      <family val="3"/>
      <charset val="128"/>
    </font>
    <font>
      <b/>
      <sz val="24"/>
      <name val="MS UI Gothic"/>
      <family val="3"/>
      <charset val="128"/>
    </font>
    <font>
      <sz val="10"/>
      <color theme="1"/>
      <name val="MS UI Gothic"/>
      <family val="3"/>
      <charset val="128"/>
    </font>
    <font>
      <sz val="11"/>
      <color theme="1"/>
      <name val="MS UI Gothic"/>
      <family val="3"/>
      <charset val="128"/>
    </font>
    <font>
      <sz val="10"/>
      <name val="MS UI Gothic"/>
      <family val="3"/>
      <charset val="128"/>
    </font>
    <font>
      <sz val="5"/>
      <name val="MS UI Gothic"/>
      <family val="3"/>
      <charset val="128"/>
    </font>
    <font>
      <sz val="9"/>
      <color theme="1"/>
      <name val="MS UI Gothic"/>
      <family val="3"/>
      <charset val="128"/>
    </font>
    <font>
      <sz val="9"/>
      <name val="MS UI Gothic"/>
      <family val="3"/>
      <charset val="128"/>
    </font>
    <font>
      <sz val="8"/>
      <name val="MS UI Gothic"/>
      <family val="3"/>
      <charset val="128"/>
    </font>
    <font>
      <b/>
      <sz val="8"/>
      <color rgb="FF0000FF"/>
      <name val="MS UI Gothic"/>
      <family val="3"/>
      <charset val="128"/>
    </font>
    <font>
      <b/>
      <sz val="11"/>
      <name val="MS UI Gothic"/>
      <family val="3"/>
      <charset val="128"/>
    </font>
    <font>
      <b/>
      <sz val="10"/>
      <name val="MS UI Gothic"/>
      <family val="3"/>
      <charset val="128"/>
    </font>
    <font>
      <sz val="6"/>
      <name val="MS UI Gothic"/>
      <family val="3"/>
      <charset val="128"/>
    </font>
    <font>
      <b/>
      <sz val="10"/>
      <color theme="1"/>
      <name val="MS UI Gothic"/>
      <family val="3"/>
      <charset val="128"/>
    </font>
    <font>
      <sz val="9"/>
      <color indexed="81"/>
      <name val="MS UI Gothic"/>
      <family val="3"/>
      <charset val="128"/>
    </font>
    <font>
      <sz val="9"/>
      <color indexed="81"/>
      <name val="游ゴシック Light"/>
      <family val="3"/>
      <charset val="128"/>
      <scheme val="major"/>
    </font>
  </fonts>
  <fills count="23">
    <fill>
      <patternFill patternType="none"/>
    </fill>
    <fill>
      <patternFill patternType="gray125"/>
    </fill>
    <fill>
      <patternFill patternType="solid">
        <fgColor indexed="43"/>
        <bgColor indexed="64"/>
      </patternFill>
    </fill>
    <fill>
      <patternFill patternType="solid">
        <fgColor rgb="FFFFFF99"/>
        <bgColor indexed="64"/>
      </patternFill>
    </fill>
    <fill>
      <patternFill patternType="solid">
        <fgColor rgb="FFFFFF00"/>
        <bgColor indexed="64"/>
      </patternFill>
    </fill>
    <fill>
      <patternFill patternType="solid">
        <fgColor indexed="41"/>
        <bgColor indexed="64"/>
      </patternFill>
    </fill>
    <fill>
      <patternFill patternType="solid">
        <fgColor theme="0" tint="-0.34998626667073579"/>
        <bgColor indexed="64"/>
      </patternFill>
    </fill>
    <fill>
      <patternFill patternType="solid">
        <fgColor rgb="FFCCFFFF"/>
        <bgColor indexed="64"/>
      </patternFill>
    </fill>
    <fill>
      <patternFill patternType="solid">
        <fgColor rgb="FFCCFF99"/>
        <bgColor indexed="64"/>
      </patternFill>
    </fill>
    <fill>
      <patternFill patternType="solid">
        <fgColor rgb="FF99FF66"/>
        <bgColor indexed="64"/>
      </patternFill>
    </fill>
    <fill>
      <patternFill patternType="solid">
        <fgColor rgb="FFFFCC99"/>
        <bgColor indexed="64"/>
      </patternFill>
    </fill>
    <fill>
      <patternFill patternType="solid">
        <fgColor rgb="FFCCCCFF"/>
        <bgColor indexed="64"/>
      </patternFill>
    </fill>
    <fill>
      <patternFill patternType="solid">
        <fgColor rgb="FFFFCC00"/>
        <bgColor indexed="64"/>
      </patternFill>
    </fill>
    <fill>
      <patternFill patternType="solid">
        <fgColor rgb="FFCC99FF"/>
        <bgColor indexed="64"/>
      </patternFill>
    </fill>
    <fill>
      <patternFill patternType="solid">
        <fgColor rgb="FFEEECE1"/>
        <bgColor indexed="64"/>
      </patternFill>
    </fill>
    <fill>
      <patternFill patternType="solid">
        <fgColor rgb="FFFFEBB3"/>
        <bgColor indexed="64"/>
      </patternFill>
    </fill>
    <fill>
      <patternFill patternType="solid">
        <fgColor rgb="FFFFCCCC"/>
        <bgColor indexed="64"/>
      </patternFill>
    </fill>
    <fill>
      <patternFill patternType="solid">
        <fgColor theme="0"/>
        <bgColor indexed="64"/>
      </patternFill>
    </fill>
    <fill>
      <patternFill patternType="solid">
        <fgColor rgb="FF66FFFF"/>
        <bgColor indexed="64"/>
      </patternFill>
    </fill>
    <fill>
      <patternFill patternType="solid">
        <fgColor rgb="FFFFE5E5"/>
        <bgColor indexed="64"/>
      </patternFill>
    </fill>
    <fill>
      <patternFill patternType="solid">
        <fgColor rgb="FFEBEBFF"/>
        <bgColor indexed="64"/>
      </patternFill>
    </fill>
    <fill>
      <patternFill patternType="solid">
        <fgColor rgb="FFE6CDFF"/>
        <bgColor indexed="64"/>
      </patternFill>
    </fill>
    <fill>
      <patternFill patternType="solid">
        <fgColor theme="2"/>
        <bgColor indexed="64"/>
      </patternFill>
    </fill>
  </fills>
  <borders count="26">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diagonalUp="1">
      <left/>
      <right style="thin">
        <color indexed="64"/>
      </right>
      <top/>
      <bottom/>
      <diagonal style="thin">
        <color indexed="64"/>
      </diagonal>
    </border>
    <border>
      <left/>
      <right style="medium">
        <color indexed="64"/>
      </right>
      <top/>
      <bottom/>
      <diagonal/>
    </border>
  </borders>
  <cellStyleXfs count="3">
    <xf numFmtId="0" fontId="0" fillId="0" borderId="0">
      <alignment vertical="center"/>
    </xf>
    <xf numFmtId="0" fontId="1" fillId="0" borderId="0">
      <alignment vertical="center"/>
    </xf>
    <xf numFmtId="38" fontId="1" fillId="0" borderId="0" applyFont="0" applyFill="0" applyBorder="0" applyAlignment="0" applyProtection="0">
      <alignment vertical="center"/>
    </xf>
  </cellStyleXfs>
  <cellXfs count="227">
    <xf numFmtId="0" fontId="0" fillId="0" borderId="0" xfId="0">
      <alignment vertical="center"/>
    </xf>
    <xf numFmtId="38" fontId="2" fillId="0" borderId="0" xfId="1" applyNumberFormat="1" applyFont="1">
      <alignment vertical="center"/>
    </xf>
    <xf numFmtId="0" fontId="1" fillId="0" borderId="0" xfId="1">
      <alignment vertical="center"/>
    </xf>
    <xf numFmtId="38" fontId="8" fillId="2" borderId="2" xfId="2" applyFont="1" applyFill="1" applyBorder="1" applyAlignment="1" applyProtection="1">
      <alignment horizontal="center" vertical="center"/>
    </xf>
    <xf numFmtId="38" fontId="8" fillId="2" borderId="2" xfId="2" applyFont="1" applyFill="1" applyBorder="1" applyAlignment="1" applyProtection="1">
      <alignment horizontal="right" vertical="center" shrinkToFit="1"/>
    </xf>
    <xf numFmtId="38" fontId="9" fillId="0" borderId="0" xfId="1" applyNumberFormat="1" applyFont="1">
      <alignment vertical="center"/>
    </xf>
    <xf numFmtId="38" fontId="10" fillId="0" borderId="0" xfId="1" applyNumberFormat="1" applyFont="1">
      <alignment vertical="center"/>
    </xf>
    <xf numFmtId="38" fontId="2" fillId="3" borderId="2" xfId="1" applyNumberFormat="1" applyFont="1" applyFill="1" applyBorder="1" applyProtection="1">
      <alignment vertical="center"/>
      <protection locked="0"/>
    </xf>
    <xf numFmtId="38" fontId="2" fillId="4" borderId="8" xfId="1" applyNumberFormat="1" applyFont="1" applyFill="1" applyBorder="1">
      <alignment vertical="center"/>
    </xf>
    <xf numFmtId="38" fontId="2" fillId="0" borderId="2" xfId="2" applyFont="1" applyFill="1" applyBorder="1" applyAlignment="1" applyProtection="1">
      <alignment horizontal="center" vertical="center"/>
    </xf>
    <xf numFmtId="38" fontId="2" fillId="0" borderId="0" xfId="1" applyNumberFormat="1" applyFont="1" applyAlignment="1">
      <alignment horizontal="center" vertical="center"/>
    </xf>
    <xf numFmtId="38" fontId="2" fillId="0" borderId="2" xfId="1" applyNumberFormat="1" applyFont="1" applyBorder="1" applyAlignment="1">
      <alignment horizontal="right" vertical="center"/>
    </xf>
    <xf numFmtId="38" fontId="2" fillId="2" borderId="2" xfId="2" applyFont="1" applyFill="1" applyBorder="1" applyAlignment="1" applyProtection="1">
      <alignment horizontal="right" vertical="center"/>
      <protection locked="0"/>
    </xf>
    <xf numFmtId="38" fontId="2" fillId="5" borderId="2" xfId="1" applyNumberFormat="1" applyFont="1" applyFill="1" applyBorder="1" applyAlignment="1" applyProtection="1">
      <alignment horizontal="right" vertical="center"/>
      <protection locked="0"/>
    </xf>
    <xf numFmtId="38" fontId="2" fillId="6" borderId="11" xfId="1" applyNumberFormat="1" applyFont="1" applyFill="1" applyBorder="1" applyAlignment="1">
      <alignment horizontal="right" vertical="center"/>
    </xf>
    <xf numFmtId="38" fontId="2" fillId="3" borderId="2" xfId="1" applyNumberFormat="1" applyFont="1" applyFill="1" applyBorder="1" applyAlignment="1" applyProtection="1">
      <alignment horizontal="right" vertical="center"/>
      <protection locked="0"/>
    </xf>
    <xf numFmtId="38" fontId="2" fillId="0" borderId="2" xfId="1" applyNumberFormat="1" applyFont="1" applyBorder="1">
      <alignment vertical="center"/>
    </xf>
    <xf numFmtId="38" fontId="2" fillId="8" borderId="13" xfId="1" applyNumberFormat="1" applyFont="1" applyFill="1" applyBorder="1" applyAlignment="1" applyProtection="1">
      <alignment vertical="center" wrapText="1"/>
      <protection hidden="1"/>
    </xf>
    <xf numFmtId="38" fontId="2" fillId="7" borderId="2" xfId="1" applyNumberFormat="1" applyFont="1" applyFill="1" applyBorder="1" applyAlignment="1" applyProtection="1">
      <alignment horizontal="right" vertical="center"/>
      <protection locked="0"/>
    </xf>
    <xf numFmtId="38" fontId="2" fillId="9" borderId="2" xfId="1" applyNumberFormat="1" applyFont="1" applyFill="1" applyBorder="1" applyAlignment="1" applyProtection="1">
      <alignment vertical="center" wrapText="1"/>
      <protection hidden="1"/>
    </xf>
    <xf numFmtId="38" fontId="2" fillId="10" borderId="2" xfId="1" applyNumberFormat="1" applyFont="1" applyFill="1" applyBorder="1" applyAlignment="1" applyProtection="1">
      <alignment vertical="center" wrapText="1"/>
      <protection hidden="1"/>
    </xf>
    <xf numFmtId="38" fontId="2" fillId="11" borderId="10" xfId="2" applyFont="1" applyFill="1" applyBorder="1" applyAlignment="1" applyProtection="1">
      <alignment horizontal="right" vertical="center"/>
      <protection hidden="1"/>
    </xf>
    <xf numFmtId="38" fontId="16" fillId="3" borderId="10" xfId="2" applyFont="1" applyFill="1" applyBorder="1" applyAlignment="1" applyProtection="1">
      <alignment horizontal="center" vertical="center" wrapText="1"/>
    </xf>
    <xf numFmtId="38" fontId="2" fillId="12" borderId="2" xfId="1" applyNumberFormat="1" applyFont="1" applyFill="1" applyBorder="1" applyAlignment="1" applyProtection="1">
      <alignment vertical="center" wrapText="1"/>
      <protection hidden="1"/>
    </xf>
    <xf numFmtId="38" fontId="2" fillId="13" borderId="2" xfId="2" applyFont="1" applyFill="1" applyBorder="1" applyAlignment="1" applyProtection="1">
      <alignment horizontal="right" vertical="center"/>
      <protection hidden="1"/>
    </xf>
    <xf numFmtId="38" fontId="2" fillId="14" borderId="2" xfId="1" applyNumberFormat="1" applyFont="1" applyFill="1" applyBorder="1" applyAlignment="1" applyProtection="1">
      <alignment vertical="center" wrapText="1"/>
      <protection hidden="1"/>
    </xf>
    <xf numFmtId="38" fontId="2" fillId="0" borderId="2" xfId="2" applyFont="1" applyFill="1" applyBorder="1" applyAlignment="1" applyProtection="1">
      <alignment horizontal="right" vertical="center"/>
    </xf>
    <xf numFmtId="38" fontId="16" fillId="0" borderId="11" xfId="2" applyFont="1" applyFill="1" applyBorder="1" applyAlignment="1" applyProtection="1">
      <alignment vertical="center" wrapText="1"/>
      <protection locked="0"/>
    </xf>
    <xf numFmtId="38" fontId="2" fillId="15" borderId="2" xfId="1" applyNumberFormat="1" applyFont="1" applyFill="1" applyBorder="1" applyAlignment="1" applyProtection="1">
      <alignment vertical="center" wrapText="1"/>
      <protection hidden="1"/>
    </xf>
    <xf numFmtId="38" fontId="2" fillId="16" borderId="2" xfId="2" applyFont="1" applyFill="1" applyBorder="1" applyAlignment="1" applyProtection="1">
      <alignment horizontal="right" vertical="center"/>
      <protection hidden="1"/>
    </xf>
    <xf numFmtId="38" fontId="2" fillId="7" borderId="10" xfId="1" applyNumberFormat="1" applyFont="1" applyFill="1" applyBorder="1" applyProtection="1">
      <alignment vertical="center"/>
      <protection locked="0"/>
    </xf>
    <xf numFmtId="38" fontId="2" fillId="0" borderId="8" xfId="2" applyFont="1" applyFill="1" applyBorder="1" applyAlignment="1" applyProtection="1">
      <alignment horizontal="right" vertical="center"/>
    </xf>
    <xf numFmtId="38" fontId="2" fillId="0" borderId="17" xfId="2" applyFont="1" applyFill="1" applyBorder="1" applyAlignment="1" applyProtection="1">
      <alignment horizontal="right" vertical="center"/>
    </xf>
    <xf numFmtId="38" fontId="2" fillId="0" borderId="8" xfId="1" applyNumberFormat="1" applyFont="1" applyBorder="1">
      <alignment vertical="center"/>
    </xf>
    <xf numFmtId="38" fontId="2" fillId="0" borderId="0" xfId="2" applyFont="1" applyFill="1" applyBorder="1" applyAlignment="1" applyProtection="1">
      <alignment horizontal="center" vertical="center"/>
      <protection locked="0"/>
    </xf>
    <xf numFmtId="38" fontId="2" fillId="0" borderId="0" xfId="2" applyFont="1" applyFill="1" applyBorder="1" applyAlignment="1" applyProtection="1">
      <alignment horizontal="right" vertical="center"/>
    </xf>
    <xf numFmtId="38" fontId="2" fillId="0" borderId="0" xfId="1" applyNumberFormat="1" applyFont="1" applyAlignment="1" applyProtection="1">
      <alignment horizontal="left" vertical="top" wrapText="1"/>
      <protection locked="0"/>
    </xf>
    <xf numFmtId="38" fontId="2" fillId="0" borderId="0" xfId="1" applyNumberFormat="1" applyFont="1" applyAlignment="1" applyProtection="1">
      <alignment vertical="top"/>
      <protection locked="0"/>
    </xf>
    <xf numFmtId="0" fontId="2" fillId="0" borderId="0" xfId="1" applyFont="1" applyProtection="1">
      <alignment vertical="center"/>
      <protection locked="0"/>
    </xf>
    <xf numFmtId="0" fontId="12" fillId="0" borderId="0" xfId="1" applyFont="1" applyAlignment="1" applyProtection="1">
      <alignment horizontal="left" vertical="center"/>
      <protection locked="0"/>
    </xf>
    <xf numFmtId="0" fontId="12" fillId="0" borderId="0" xfId="1" applyFont="1" applyProtection="1">
      <alignment vertical="center"/>
      <protection locked="0"/>
    </xf>
    <xf numFmtId="0" fontId="2" fillId="0" borderId="0" xfId="1" applyFont="1" applyAlignment="1" applyProtection="1">
      <alignment vertical="center" shrinkToFit="1"/>
      <protection locked="0"/>
    </xf>
    <xf numFmtId="0" fontId="2" fillId="0" borderId="0" xfId="1" applyFont="1" applyAlignment="1" applyProtection="1">
      <alignment horizontal="left" vertical="center"/>
      <protection locked="0"/>
    </xf>
    <xf numFmtId="0" fontId="13" fillId="0" borderId="0" xfId="1" applyFont="1" applyProtection="1">
      <alignment vertical="center"/>
      <protection locked="0"/>
    </xf>
    <xf numFmtId="0" fontId="13" fillId="0" borderId="0" xfId="1" applyFont="1" applyAlignment="1" applyProtection="1">
      <alignment vertical="center" shrinkToFit="1"/>
      <protection locked="0"/>
    </xf>
    <xf numFmtId="0" fontId="13" fillId="0" borderId="2" xfId="2" applyNumberFormat="1" applyFont="1" applyFill="1" applyBorder="1" applyAlignment="1" applyProtection="1">
      <alignment horizontal="center" vertical="center"/>
      <protection locked="0"/>
    </xf>
    <xf numFmtId="0" fontId="13" fillId="0" borderId="0" xfId="1" applyFont="1" applyAlignment="1" applyProtection="1">
      <alignment horizontal="center" vertical="center"/>
      <protection locked="0"/>
    </xf>
    <xf numFmtId="0" fontId="13" fillId="0" borderId="0" xfId="1" applyFont="1" applyAlignment="1" applyProtection="1">
      <alignment horizontal="center" vertical="center" shrinkToFit="1"/>
      <protection locked="0"/>
    </xf>
    <xf numFmtId="49" fontId="13" fillId="18" borderId="2" xfId="2" applyNumberFormat="1" applyFont="1" applyFill="1" applyBorder="1" applyAlignment="1" applyProtection="1">
      <alignment horizontal="right" vertical="center"/>
      <protection locked="0"/>
    </xf>
    <xf numFmtId="49" fontId="13" fillId="18" borderId="2" xfId="2" applyNumberFormat="1" applyFont="1" applyFill="1" applyBorder="1" applyAlignment="1" applyProtection="1">
      <alignment horizontal="center" vertical="center"/>
      <protection locked="0"/>
    </xf>
    <xf numFmtId="0" fontId="13" fillId="18" borderId="2" xfId="2" applyNumberFormat="1" applyFont="1" applyFill="1" applyBorder="1" applyAlignment="1" applyProtection="1">
      <alignment horizontal="right" vertical="center"/>
      <protection locked="0"/>
    </xf>
    <xf numFmtId="0" fontId="13" fillId="18" borderId="11" xfId="2" applyNumberFormat="1" applyFont="1" applyFill="1" applyBorder="1" applyAlignment="1" applyProtection="1">
      <alignment horizontal="right" vertical="center"/>
      <protection locked="0"/>
    </xf>
    <xf numFmtId="49" fontId="13" fillId="18" borderId="2" xfId="1" applyNumberFormat="1" applyFont="1" applyFill="1" applyBorder="1" applyProtection="1">
      <alignment vertical="center"/>
      <protection locked="0"/>
    </xf>
    <xf numFmtId="49" fontId="13" fillId="0" borderId="2" xfId="2" applyNumberFormat="1" applyFont="1" applyBorder="1" applyAlignment="1" applyProtection="1">
      <alignment horizontal="right" vertical="center"/>
      <protection locked="0"/>
    </xf>
    <xf numFmtId="49" fontId="13" fillId="0" borderId="2" xfId="2" applyNumberFormat="1" applyFont="1" applyBorder="1" applyAlignment="1" applyProtection="1">
      <alignment horizontal="center" vertical="center"/>
      <protection locked="0"/>
    </xf>
    <xf numFmtId="0" fontId="13" fillId="0" borderId="2" xfId="2" applyNumberFormat="1" applyFont="1" applyFill="1" applyBorder="1" applyAlignment="1" applyProtection="1">
      <alignment horizontal="right" vertical="center"/>
      <protection locked="0"/>
    </xf>
    <xf numFmtId="0" fontId="11" fillId="0" borderId="2" xfId="2" applyNumberFormat="1" applyFont="1" applyFill="1" applyBorder="1" applyAlignment="1" applyProtection="1">
      <alignment horizontal="right" vertical="center"/>
      <protection locked="0"/>
    </xf>
    <xf numFmtId="0" fontId="13" fillId="0" borderId="11" xfId="2" applyNumberFormat="1" applyFont="1" applyFill="1" applyBorder="1" applyAlignment="1" applyProtection="1">
      <alignment horizontal="right" vertical="center"/>
      <protection locked="0"/>
    </xf>
    <xf numFmtId="49" fontId="13" fillId="0" borderId="2" xfId="1" applyNumberFormat="1" applyFont="1" applyBorder="1" applyProtection="1">
      <alignment vertical="center"/>
      <protection locked="0"/>
    </xf>
    <xf numFmtId="0" fontId="13" fillId="0" borderId="2" xfId="2" applyNumberFormat="1" applyFont="1" applyBorder="1" applyAlignment="1" applyProtection="1">
      <alignment horizontal="right" vertical="center"/>
      <protection locked="0"/>
    </xf>
    <xf numFmtId="0" fontId="11" fillId="0" borderId="2" xfId="2" applyNumberFormat="1" applyFont="1" applyBorder="1" applyAlignment="1" applyProtection="1">
      <alignment horizontal="right" vertical="center"/>
      <protection locked="0"/>
    </xf>
    <xf numFmtId="49" fontId="13" fillId="0" borderId="2" xfId="2" applyNumberFormat="1" applyFont="1" applyFill="1" applyBorder="1" applyAlignment="1" applyProtection="1">
      <alignment horizontal="right" vertical="center"/>
      <protection locked="0"/>
    </xf>
    <xf numFmtId="49" fontId="13" fillId="0" borderId="2" xfId="2" applyNumberFormat="1" applyFont="1" applyFill="1" applyBorder="1" applyAlignment="1" applyProtection="1">
      <alignment horizontal="center" vertical="center"/>
      <protection locked="0"/>
    </xf>
    <xf numFmtId="49" fontId="20" fillId="19" borderId="2" xfId="2" applyNumberFormat="1" applyFont="1" applyFill="1" applyBorder="1" applyAlignment="1" applyProtection="1">
      <alignment horizontal="right" vertical="center"/>
      <protection locked="0"/>
    </xf>
    <xf numFmtId="49" fontId="20" fillId="19" borderId="2" xfId="2" applyNumberFormat="1" applyFont="1" applyFill="1" applyBorder="1" applyAlignment="1" applyProtection="1">
      <alignment horizontal="center" vertical="center"/>
      <protection locked="0"/>
    </xf>
    <xf numFmtId="0" fontId="13" fillId="19" borderId="2" xfId="2" applyNumberFormat="1" applyFont="1" applyFill="1" applyBorder="1" applyAlignment="1" applyProtection="1">
      <alignment horizontal="right" vertical="center"/>
    </xf>
    <xf numFmtId="0" fontId="20" fillId="19" borderId="11" xfId="2" applyNumberFormat="1" applyFont="1" applyFill="1" applyBorder="1" applyAlignment="1" applyProtection="1">
      <alignment horizontal="right" vertical="center"/>
      <protection locked="0"/>
    </xf>
    <xf numFmtId="49" fontId="20" fillId="19" borderId="2" xfId="1" applyNumberFormat="1" applyFont="1" applyFill="1" applyBorder="1" applyProtection="1">
      <alignment vertical="center"/>
      <protection locked="0"/>
    </xf>
    <xf numFmtId="49" fontId="20" fillId="16" borderId="2" xfId="2" applyNumberFormat="1" applyFont="1" applyFill="1" applyBorder="1" applyAlignment="1" applyProtection="1">
      <alignment horizontal="right" vertical="center"/>
      <protection locked="0"/>
    </xf>
    <xf numFmtId="49" fontId="20" fillId="16" borderId="2" xfId="2" applyNumberFormat="1" applyFont="1" applyFill="1" applyBorder="1" applyAlignment="1" applyProtection="1">
      <alignment horizontal="center" vertical="center"/>
      <protection locked="0"/>
    </xf>
    <xf numFmtId="0" fontId="20" fillId="16" borderId="2" xfId="2" applyNumberFormat="1" applyFont="1" applyFill="1" applyBorder="1" applyAlignment="1" applyProtection="1">
      <alignment horizontal="right" vertical="center"/>
    </xf>
    <xf numFmtId="0" fontId="20" fillId="16" borderId="11" xfId="2" applyNumberFormat="1" applyFont="1" applyFill="1" applyBorder="1" applyAlignment="1" applyProtection="1">
      <alignment horizontal="right" vertical="center"/>
      <protection locked="0"/>
    </xf>
    <xf numFmtId="49" fontId="20" fillId="16" borderId="2" xfId="1" applyNumberFormat="1" applyFont="1" applyFill="1" applyBorder="1" applyProtection="1">
      <alignment vertical="center"/>
      <protection locked="0"/>
    </xf>
    <xf numFmtId="49" fontId="20" fillId="20" borderId="2" xfId="2" applyNumberFormat="1" applyFont="1" applyFill="1" applyBorder="1" applyAlignment="1" applyProtection="1">
      <alignment horizontal="right" vertical="center"/>
      <protection locked="0"/>
    </xf>
    <xf numFmtId="49" fontId="20" fillId="20" borderId="2" xfId="2" applyNumberFormat="1" applyFont="1" applyFill="1" applyBorder="1" applyAlignment="1" applyProtection="1">
      <alignment horizontal="center" vertical="center"/>
      <protection locked="0"/>
    </xf>
    <xf numFmtId="0" fontId="13" fillId="20" borderId="2" xfId="2" applyNumberFormat="1" applyFont="1" applyFill="1" applyBorder="1" applyAlignment="1" applyProtection="1">
      <alignment horizontal="right" vertical="center"/>
    </xf>
    <xf numFmtId="0" fontId="20" fillId="20" borderId="11" xfId="2" applyNumberFormat="1" applyFont="1" applyFill="1" applyBorder="1" applyAlignment="1" applyProtection="1">
      <alignment horizontal="right" vertical="center"/>
      <protection locked="0"/>
    </xf>
    <xf numFmtId="49" fontId="20" fillId="20" borderId="2" xfId="1" applyNumberFormat="1" applyFont="1" applyFill="1" applyBorder="1" applyProtection="1">
      <alignment vertical="center"/>
      <protection locked="0"/>
    </xf>
    <xf numFmtId="49" fontId="20" fillId="11" borderId="2" xfId="2" applyNumberFormat="1" applyFont="1" applyFill="1" applyBorder="1" applyAlignment="1" applyProtection="1">
      <alignment horizontal="right" vertical="center"/>
      <protection locked="0"/>
    </xf>
    <xf numFmtId="49" fontId="20" fillId="11" borderId="2" xfId="2" applyNumberFormat="1" applyFont="1" applyFill="1" applyBorder="1" applyAlignment="1" applyProtection="1">
      <alignment horizontal="center" vertical="center"/>
      <protection locked="0"/>
    </xf>
    <xf numFmtId="0" fontId="20" fillId="11" borderId="2" xfId="2" applyNumberFormat="1" applyFont="1" applyFill="1" applyBorder="1" applyAlignment="1" applyProtection="1">
      <alignment horizontal="right" vertical="center"/>
    </xf>
    <xf numFmtId="0" fontId="20" fillId="11" borderId="11" xfId="2" applyNumberFormat="1" applyFont="1" applyFill="1" applyBorder="1" applyAlignment="1" applyProtection="1">
      <alignment horizontal="right" vertical="center"/>
      <protection locked="0"/>
    </xf>
    <xf numFmtId="49" fontId="20" fillId="11" borderId="2" xfId="1" applyNumberFormat="1" applyFont="1" applyFill="1" applyBorder="1" applyProtection="1">
      <alignment vertical="center"/>
      <protection locked="0"/>
    </xf>
    <xf numFmtId="49" fontId="21" fillId="0" borderId="2" xfId="1" applyNumberFormat="1" applyFont="1" applyBorder="1" applyProtection="1">
      <alignment vertical="center"/>
      <protection locked="0"/>
    </xf>
    <xf numFmtId="49" fontId="20" fillId="21" borderId="2" xfId="2" applyNumberFormat="1" applyFont="1" applyFill="1" applyBorder="1" applyAlignment="1" applyProtection="1">
      <alignment horizontal="right" vertical="center"/>
      <protection locked="0"/>
    </xf>
    <xf numFmtId="49" fontId="20" fillId="21" borderId="2" xfId="2" applyNumberFormat="1" applyFont="1" applyFill="1" applyBorder="1" applyAlignment="1" applyProtection="1">
      <alignment horizontal="center" vertical="center"/>
      <protection locked="0"/>
    </xf>
    <xf numFmtId="0" fontId="13" fillId="21" borderId="2" xfId="2" applyNumberFormat="1" applyFont="1" applyFill="1" applyBorder="1" applyAlignment="1" applyProtection="1">
      <alignment horizontal="right" vertical="center"/>
    </xf>
    <xf numFmtId="0" fontId="20" fillId="21" borderId="11" xfId="2" applyNumberFormat="1" applyFont="1" applyFill="1" applyBorder="1" applyAlignment="1" applyProtection="1">
      <alignment horizontal="right" vertical="center"/>
      <protection locked="0"/>
    </xf>
    <xf numFmtId="0" fontId="20" fillId="21" borderId="2" xfId="2" applyNumberFormat="1" applyFont="1" applyFill="1" applyBorder="1" applyAlignment="1" applyProtection="1">
      <alignment horizontal="right" vertical="center"/>
    </xf>
    <xf numFmtId="49" fontId="20" fillId="21" borderId="2" xfId="1" applyNumberFormat="1" applyFont="1" applyFill="1" applyBorder="1" applyProtection="1">
      <alignment vertical="center"/>
      <protection locked="0"/>
    </xf>
    <xf numFmtId="49" fontId="20" fillId="13" borderId="2" xfId="2" applyNumberFormat="1" applyFont="1" applyFill="1" applyBorder="1" applyAlignment="1" applyProtection="1">
      <alignment horizontal="right" vertical="center"/>
      <protection locked="0"/>
    </xf>
    <xf numFmtId="49" fontId="20" fillId="13" borderId="2" xfId="2" applyNumberFormat="1" applyFont="1" applyFill="1" applyBorder="1" applyAlignment="1" applyProtection="1">
      <alignment horizontal="center" vertical="center"/>
      <protection locked="0"/>
    </xf>
    <xf numFmtId="0" fontId="20" fillId="13" borderId="2" xfId="2" applyNumberFormat="1" applyFont="1" applyFill="1" applyBorder="1" applyAlignment="1" applyProtection="1">
      <alignment horizontal="right" vertical="center"/>
    </xf>
    <xf numFmtId="0" fontId="20" fillId="13" borderId="11" xfId="2" applyNumberFormat="1" applyFont="1" applyFill="1" applyBorder="1" applyAlignment="1" applyProtection="1">
      <alignment horizontal="right" vertical="center"/>
      <protection locked="0"/>
    </xf>
    <xf numFmtId="49" fontId="20" fillId="13" borderId="2" xfId="1" applyNumberFormat="1" applyFont="1" applyFill="1" applyBorder="1" applyProtection="1">
      <alignment vertical="center"/>
      <protection locked="0"/>
    </xf>
    <xf numFmtId="49" fontId="20" fillId="8" borderId="2" xfId="2" applyNumberFormat="1" applyFont="1" applyFill="1" applyBorder="1" applyAlignment="1" applyProtection="1">
      <alignment horizontal="right" vertical="center"/>
      <protection locked="0"/>
    </xf>
    <xf numFmtId="49" fontId="20" fillId="8" borderId="2" xfId="2" applyNumberFormat="1" applyFont="1" applyFill="1" applyBorder="1" applyAlignment="1" applyProtection="1">
      <alignment horizontal="center" vertical="center"/>
      <protection locked="0"/>
    </xf>
    <xf numFmtId="0" fontId="20" fillId="8" borderId="2" xfId="2" applyNumberFormat="1" applyFont="1" applyFill="1" applyBorder="1" applyAlignment="1" applyProtection="1">
      <alignment horizontal="right" vertical="center"/>
    </xf>
    <xf numFmtId="0" fontId="20" fillId="8" borderId="11" xfId="2" applyNumberFormat="1" applyFont="1" applyFill="1" applyBorder="1" applyAlignment="1" applyProtection="1">
      <alignment horizontal="right" vertical="center"/>
      <protection locked="0"/>
    </xf>
    <xf numFmtId="49" fontId="20" fillId="8" borderId="2" xfId="1" applyNumberFormat="1" applyFont="1" applyFill="1" applyBorder="1" applyProtection="1">
      <alignment vertical="center"/>
      <protection locked="0"/>
    </xf>
    <xf numFmtId="49" fontId="20" fillId="9" borderId="2" xfId="2" applyNumberFormat="1" applyFont="1" applyFill="1" applyBorder="1" applyAlignment="1" applyProtection="1">
      <alignment horizontal="right" vertical="center"/>
      <protection locked="0"/>
    </xf>
    <xf numFmtId="49" fontId="20" fillId="9" borderId="2" xfId="2" applyNumberFormat="1" applyFont="1" applyFill="1" applyBorder="1" applyAlignment="1" applyProtection="1">
      <alignment horizontal="center" vertical="center"/>
      <protection locked="0"/>
    </xf>
    <xf numFmtId="0" fontId="20" fillId="9" borderId="2" xfId="2" applyNumberFormat="1" applyFont="1" applyFill="1" applyBorder="1" applyAlignment="1" applyProtection="1">
      <alignment horizontal="right" vertical="center"/>
    </xf>
    <xf numFmtId="0" fontId="20" fillId="9" borderId="11" xfId="2" applyNumberFormat="1" applyFont="1" applyFill="1" applyBorder="1" applyAlignment="1" applyProtection="1">
      <alignment horizontal="right" vertical="center"/>
      <protection locked="0"/>
    </xf>
    <xf numFmtId="49" fontId="20" fillId="9" borderId="2" xfId="1" applyNumberFormat="1" applyFont="1" applyFill="1" applyBorder="1" applyProtection="1">
      <alignment vertical="center"/>
      <protection locked="0"/>
    </xf>
    <xf numFmtId="49" fontId="20" fillId="10" borderId="2" xfId="2" applyNumberFormat="1" applyFont="1" applyFill="1" applyBorder="1" applyAlignment="1" applyProtection="1">
      <alignment horizontal="right" vertical="center"/>
      <protection locked="0"/>
    </xf>
    <xf numFmtId="49" fontId="20" fillId="10" borderId="2" xfId="2" applyNumberFormat="1" applyFont="1" applyFill="1" applyBorder="1" applyAlignment="1" applyProtection="1">
      <alignment horizontal="center" vertical="center"/>
      <protection locked="0"/>
    </xf>
    <xf numFmtId="0" fontId="20" fillId="10" borderId="2" xfId="2" applyNumberFormat="1" applyFont="1" applyFill="1" applyBorder="1" applyAlignment="1" applyProtection="1">
      <alignment horizontal="right" vertical="center"/>
    </xf>
    <xf numFmtId="0" fontId="20" fillId="10" borderId="11" xfId="2" applyNumberFormat="1" applyFont="1" applyFill="1" applyBorder="1" applyAlignment="1" applyProtection="1">
      <alignment horizontal="right" vertical="center"/>
      <protection locked="0"/>
    </xf>
    <xf numFmtId="49" fontId="20" fillId="10" borderId="2" xfId="1" applyNumberFormat="1" applyFont="1" applyFill="1" applyBorder="1" applyProtection="1">
      <alignment vertical="center"/>
      <protection locked="0"/>
    </xf>
    <xf numFmtId="49" fontId="20" fillId="12" borderId="2" xfId="2" applyNumberFormat="1" applyFont="1" applyFill="1" applyBorder="1" applyAlignment="1" applyProtection="1">
      <alignment horizontal="right" vertical="center"/>
      <protection locked="0"/>
    </xf>
    <xf numFmtId="49" fontId="20" fillId="12" borderId="2" xfId="2" applyNumberFormat="1" applyFont="1" applyFill="1" applyBorder="1" applyAlignment="1" applyProtection="1">
      <alignment horizontal="center" vertical="center"/>
      <protection locked="0"/>
    </xf>
    <xf numFmtId="0" fontId="20" fillId="12" borderId="2" xfId="2" applyNumberFormat="1" applyFont="1" applyFill="1" applyBorder="1" applyAlignment="1" applyProtection="1">
      <alignment horizontal="right" vertical="center"/>
    </xf>
    <xf numFmtId="0" fontId="20" fillId="12" borderId="11" xfId="2" applyNumberFormat="1" applyFont="1" applyFill="1" applyBorder="1" applyAlignment="1" applyProtection="1">
      <alignment horizontal="right" vertical="center"/>
      <protection locked="0"/>
    </xf>
    <xf numFmtId="49" fontId="20" fillId="12" borderId="2" xfId="1" applyNumberFormat="1" applyFont="1" applyFill="1" applyBorder="1" applyProtection="1">
      <alignment vertical="center"/>
      <protection locked="0"/>
    </xf>
    <xf numFmtId="49" fontId="20" fillId="14" borderId="2" xfId="2" applyNumberFormat="1" applyFont="1" applyFill="1" applyBorder="1" applyAlignment="1" applyProtection="1">
      <alignment horizontal="right" vertical="center"/>
      <protection locked="0"/>
    </xf>
    <xf numFmtId="49" fontId="20" fillId="22" borderId="2" xfId="2" applyNumberFormat="1" applyFont="1" applyFill="1" applyBorder="1" applyAlignment="1" applyProtection="1">
      <alignment horizontal="right" vertical="center"/>
      <protection locked="0"/>
    </xf>
    <xf numFmtId="49" fontId="20" fillId="22" borderId="2" xfId="2" applyNumberFormat="1" applyFont="1" applyFill="1" applyBorder="1" applyAlignment="1" applyProtection="1">
      <alignment horizontal="center" vertical="center"/>
      <protection locked="0"/>
    </xf>
    <xf numFmtId="0" fontId="20" fillId="22" borderId="2" xfId="2" applyNumberFormat="1" applyFont="1" applyFill="1" applyBorder="1" applyAlignment="1" applyProtection="1">
      <alignment horizontal="right" vertical="center"/>
    </xf>
    <xf numFmtId="0" fontId="20" fillId="22" borderId="11" xfId="2" applyNumberFormat="1" applyFont="1" applyFill="1" applyBorder="1" applyAlignment="1" applyProtection="1">
      <alignment horizontal="right" vertical="center"/>
      <protection locked="0"/>
    </xf>
    <xf numFmtId="49" fontId="20" fillId="22" borderId="2" xfId="1" applyNumberFormat="1" applyFont="1" applyFill="1" applyBorder="1" applyProtection="1">
      <alignment vertical="center"/>
      <protection locked="0"/>
    </xf>
    <xf numFmtId="49" fontId="11" fillId="0" borderId="2" xfId="2" applyNumberFormat="1" applyFont="1" applyFill="1" applyBorder="1" applyAlignment="1" applyProtection="1">
      <alignment horizontal="right" vertical="center"/>
      <protection locked="0"/>
    </xf>
    <xf numFmtId="49" fontId="11" fillId="0" borderId="2" xfId="2" applyNumberFormat="1" applyFont="1" applyFill="1" applyBorder="1" applyAlignment="1" applyProtection="1">
      <alignment horizontal="center" vertical="center"/>
      <protection locked="0"/>
    </xf>
    <xf numFmtId="49" fontId="20" fillId="15" borderId="2" xfId="2" applyNumberFormat="1" applyFont="1" applyFill="1" applyBorder="1" applyAlignment="1" applyProtection="1">
      <alignment horizontal="right" vertical="center"/>
      <protection locked="0"/>
    </xf>
    <xf numFmtId="49" fontId="20" fillId="15" borderId="2" xfId="2" applyNumberFormat="1" applyFont="1" applyFill="1" applyBorder="1" applyAlignment="1" applyProtection="1">
      <alignment horizontal="center" vertical="center"/>
      <protection locked="0"/>
    </xf>
    <xf numFmtId="0" fontId="20" fillId="15" borderId="2" xfId="2" applyNumberFormat="1" applyFont="1" applyFill="1" applyBorder="1" applyAlignment="1" applyProtection="1">
      <alignment horizontal="right" vertical="center"/>
    </xf>
    <xf numFmtId="0" fontId="20" fillId="15" borderId="11" xfId="2" applyNumberFormat="1" applyFont="1" applyFill="1" applyBorder="1" applyAlignment="1" applyProtection="1">
      <alignment horizontal="right" vertical="center"/>
      <protection locked="0"/>
    </xf>
    <xf numFmtId="49" fontId="20" fillId="15" borderId="2" xfId="1" applyNumberFormat="1" applyFont="1" applyFill="1" applyBorder="1" applyProtection="1">
      <alignment vertical="center"/>
      <protection locked="0"/>
    </xf>
    <xf numFmtId="0" fontId="13" fillId="0" borderId="23" xfId="2" applyNumberFormat="1" applyFont="1" applyFill="1" applyBorder="1" applyAlignment="1" applyProtection="1">
      <alignment horizontal="right" vertical="center"/>
    </xf>
    <xf numFmtId="0" fontId="13" fillId="0" borderId="24" xfId="2" applyNumberFormat="1" applyFont="1" applyFill="1" applyBorder="1" applyAlignment="1" applyProtection="1">
      <alignment horizontal="right" vertical="center"/>
      <protection locked="0"/>
    </xf>
    <xf numFmtId="49" fontId="13" fillId="0" borderId="13" xfId="1" applyNumberFormat="1" applyFont="1" applyBorder="1" applyProtection="1">
      <alignment vertical="center"/>
      <protection locked="0"/>
    </xf>
    <xf numFmtId="0" fontId="13" fillId="0" borderId="8" xfId="2" applyNumberFormat="1" applyFont="1" applyFill="1" applyBorder="1" applyAlignment="1" applyProtection="1">
      <alignment horizontal="right" vertical="center"/>
    </xf>
    <xf numFmtId="49" fontId="13" fillId="0" borderId="4" xfId="1" applyNumberFormat="1" applyFont="1" applyBorder="1" applyProtection="1">
      <alignment vertical="center"/>
      <protection locked="0"/>
    </xf>
    <xf numFmtId="0" fontId="19" fillId="0" borderId="0" xfId="1" applyFont="1" applyProtection="1">
      <alignment vertical="center"/>
      <protection locked="0"/>
    </xf>
    <xf numFmtId="38" fontId="4" fillId="0" borderId="0" xfId="1" applyNumberFormat="1" applyFont="1" applyAlignment="1">
      <alignment horizontal="left" vertical="center"/>
    </xf>
    <xf numFmtId="38" fontId="4" fillId="0" borderId="1" xfId="1" applyNumberFormat="1" applyFont="1" applyBorder="1" applyAlignment="1">
      <alignment horizontal="left" vertical="center"/>
    </xf>
    <xf numFmtId="38" fontId="7" fillId="2" borderId="2" xfId="2" applyFont="1" applyFill="1" applyBorder="1" applyAlignment="1" applyProtection="1">
      <alignment horizontal="center" vertical="center"/>
    </xf>
    <xf numFmtId="38" fontId="11" fillId="0" borderId="3" xfId="1" applyNumberFormat="1" applyFont="1" applyBorder="1" applyAlignment="1">
      <alignment horizontal="center" vertical="center"/>
    </xf>
    <xf numFmtId="38" fontId="11" fillId="0" borderId="4" xfId="1" applyNumberFormat="1" applyFont="1" applyBorder="1" applyAlignment="1">
      <alignment horizontal="center" vertical="center"/>
    </xf>
    <xf numFmtId="38" fontId="2" fillId="0" borderId="5" xfId="1" applyNumberFormat="1" applyFont="1" applyBorder="1" applyAlignment="1">
      <alignment horizontal="center" vertical="center"/>
    </xf>
    <xf numFmtId="38" fontId="2" fillId="0" borderId="6" xfId="1" applyNumberFormat="1" applyFont="1" applyBorder="1" applyAlignment="1">
      <alignment horizontal="center" vertical="center"/>
    </xf>
    <xf numFmtId="38" fontId="2" fillId="0" borderId="7" xfId="1" applyNumberFormat="1" applyFont="1" applyBorder="1" applyAlignment="1">
      <alignment horizontal="center" vertical="center"/>
    </xf>
    <xf numFmtId="38" fontId="12" fillId="0" borderId="2" xfId="2" applyFont="1" applyFill="1" applyBorder="1" applyAlignment="1" applyProtection="1">
      <alignment horizontal="center" vertical="center"/>
      <protection locked="0"/>
    </xf>
    <xf numFmtId="38" fontId="12" fillId="0" borderId="3" xfId="1" applyNumberFormat="1" applyFont="1" applyBorder="1" applyAlignment="1">
      <alignment horizontal="center" vertical="center"/>
    </xf>
    <xf numFmtId="38" fontId="12" fillId="0" borderId="9" xfId="1" applyNumberFormat="1" applyFont="1" applyBorder="1" applyAlignment="1">
      <alignment horizontal="center" vertical="center"/>
    </xf>
    <xf numFmtId="38" fontId="12" fillId="0" borderId="4" xfId="1" applyNumberFormat="1" applyFont="1" applyBorder="1" applyAlignment="1">
      <alignment horizontal="center" vertical="center"/>
    </xf>
    <xf numFmtId="38" fontId="12" fillId="0" borderId="2" xfId="2" applyFont="1" applyFill="1" applyBorder="1" applyAlignment="1" applyProtection="1">
      <alignment horizontal="left" vertical="center" indent="1"/>
      <protection locked="0"/>
    </xf>
    <xf numFmtId="38" fontId="2" fillId="0" borderId="10" xfId="1" applyNumberFormat="1" applyFont="1" applyBorder="1" applyAlignment="1">
      <alignment horizontal="center" vertical="center" textRotation="255"/>
    </xf>
    <xf numFmtId="38" fontId="2" fillId="0" borderId="12" xfId="1" applyNumberFormat="1" applyFont="1" applyBorder="1" applyAlignment="1">
      <alignment horizontal="center" vertical="center" textRotation="255"/>
    </xf>
    <xf numFmtId="38" fontId="2" fillId="0" borderId="13" xfId="1" applyNumberFormat="1" applyFont="1" applyBorder="1" applyAlignment="1">
      <alignment horizontal="center" vertical="center" textRotation="255"/>
    </xf>
    <xf numFmtId="38" fontId="11" fillId="6" borderId="2" xfId="1" applyNumberFormat="1" applyFont="1" applyFill="1" applyBorder="1" applyAlignment="1">
      <alignment horizontal="left" vertical="center" wrapText="1"/>
    </xf>
    <xf numFmtId="38" fontId="2" fillId="5" borderId="2" xfId="1" applyNumberFormat="1" applyFont="1" applyFill="1" applyBorder="1" applyAlignment="1" applyProtection="1">
      <alignment horizontal="right" vertical="center"/>
      <protection locked="0"/>
    </xf>
    <xf numFmtId="38" fontId="12" fillId="0" borderId="3" xfId="2" applyFont="1" applyFill="1" applyBorder="1" applyAlignment="1" applyProtection="1">
      <alignment horizontal="left" vertical="center" indent="1"/>
      <protection locked="0"/>
    </xf>
    <xf numFmtId="38" fontId="12" fillId="0" borderId="4" xfId="2" applyFont="1" applyFill="1" applyBorder="1" applyAlignment="1" applyProtection="1">
      <alignment horizontal="left" vertical="center" indent="1"/>
      <protection locked="0"/>
    </xf>
    <xf numFmtId="38" fontId="13" fillId="0" borderId="2" xfId="1" applyNumberFormat="1" applyFont="1" applyBorder="1" applyAlignment="1" applyProtection="1">
      <alignment horizontal="left" vertical="center" wrapText="1"/>
      <protection locked="0"/>
    </xf>
    <xf numFmtId="38" fontId="13" fillId="0" borderId="2" xfId="1" applyNumberFormat="1" applyFont="1" applyBorder="1" applyAlignment="1">
      <alignment horizontal="left" vertical="center" wrapText="1"/>
    </xf>
    <xf numFmtId="38" fontId="14" fillId="7" borderId="10" xfId="1" applyNumberFormat="1" applyFont="1" applyFill="1" applyBorder="1" applyAlignment="1">
      <alignment horizontal="center" vertical="center" textRotation="255"/>
    </xf>
    <xf numFmtId="38" fontId="14" fillId="7" borderId="12" xfId="1" applyNumberFormat="1" applyFont="1" applyFill="1" applyBorder="1" applyAlignment="1">
      <alignment horizontal="center" vertical="center" textRotation="255"/>
    </xf>
    <xf numFmtId="38" fontId="14" fillId="7" borderId="13" xfId="1" applyNumberFormat="1" applyFont="1" applyFill="1" applyBorder="1" applyAlignment="1">
      <alignment horizontal="center" vertical="center" textRotation="255"/>
    </xf>
    <xf numFmtId="38" fontId="2" fillId="8" borderId="13" xfId="1" applyNumberFormat="1" applyFont="1" applyFill="1" applyBorder="1" applyAlignment="1">
      <alignment horizontal="left" vertical="center" wrapText="1"/>
    </xf>
    <xf numFmtId="38" fontId="2" fillId="9" borderId="2" xfId="1" applyNumberFormat="1" applyFont="1" applyFill="1" applyBorder="1" applyAlignment="1">
      <alignment horizontal="left" vertical="center" wrapText="1"/>
    </xf>
    <xf numFmtId="38" fontId="11" fillId="0" borderId="2" xfId="2" applyFont="1" applyFill="1" applyBorder="1" applyAlignment="1" applyProtection="1">
      <alignment horizontal="left" vertical="center" indent="1"/>
      <protection locked="0"/>
    </xf>
    <xf numFmtId="38" fontId="2" fillId="10" borderId="2" xfId="1" applyNumberFormat="1" applyFont="1" applyFill="1" applyBorder="1" applyAlignment="1">
      <alignment horizontal="left" vertical="center" wrapText="1"/>
    </xf>
    <xf numFmtId="38" fontId="15" fillId="11" borderId="10" xfId="2" applyFont="1" applyFill="1" applyBorder="1" applyAlignment="1" applyProtection="1">
      <alignment horizontal="left" vertical="center" indent="1"/>
    </xf>
    <xf numFmtId="38" fontId="11" fillId="16" borderId="2" xfId="2" applyFont="1" applyFill="1" applyBorder="1" applyAlignment="1" applyProtection="1">
      <alignment horizontal="left" vertical="center" indent="1"/>
    </xf>
    <xf numFmtId="38" fontId="17" fillId="0" borderId="14" xfId="1" applyNumberFormat="1" applyFont="1" applyBorder="1" applyAlignment="1" applyProtection="1">
      <alignment horizontal="left" vertical="center" wrapText="1"/>
      <protection locked="0"/>
    </xf>
    <xf numFmtId="38" fontId="17" fillId="0" borderId="15" xfId="1" applyNumberFormat="1" applyFont="1" applyBorder="1" applyAlignment="1" applyProtection="1">
      <alignment horizontal="left" vertical="center" wrapText="1"/>
      <protection locked="0"/>
    </xf>
    <xf numFmtId="38" fontId="17" fillId="0" borderId="16" xfId="1" applyNumberFormat="1" applyFont="1" applyBorder="1" applyAlignment="1" applyProtection="1">
      <alignment horizontal="left" vertical="center" wrapText="1"/>
      <protection locked="0"/>
    </xf>
    <xf numFmtId="38" fontId="12" fillId="0" borderId="5" xfId="2" applyFont="1" applyFill="1" applyBorder="1" applyAlignment="1" applyProtection="1">
      <alignment horizontal="center" vertical="center"/>
    </xf>
    <xf numFmtId="38" fontId="12" fillId="0" borderId="7" xfId="2" applyFont="1" applyFill="1" applyBorder="1" applyAlignment="1" applyProtection="1">
      <alignment horizontal="center" vertical="center"/>
    </xf>
    <xf numFmtId="38" fontId="13" fillId="0" borderId="18" xfId="1" applyNumberFormat="1" applyFont="1" applyBorder="1" applyAlignment="1">
      <alignment horizontal="center" vertical="center" wrapText="1"/>
    </xf>
    <xf numFmtId="38" fontId="13" fillId="0" borderId="19" xfId="1" applyNumberFormat="1" applyFont="1" applyBorder="1" applyAlignment="1">
      <alignment horizontal="center" vertical="center" wrapText="1"/>
    </xf>
    <xf numFmtId="38" fontId="16" fillId="3" borderId="10" xfId="2" applyFont="1" applyFill="1" applyBorder="1" applyAlignment="1" applyProtection="1">
      <alignment horizontal="center" vertical="center" wrapText="1"/>
    </xf>
    <xf numFmtId="38" fontId="16" fillId="3" borderId="13" xfId="2" applyFont="1" applyFill="1" applyBorder="1" applyAlignment="1" applyProtection="1">
      <alignment horizontal="center" vertical="center" wrapText="1"/>
    </xf>
    <xf numFmtId="38" fontId="2" fillId="12" borderId="2" xfId="1" applyNumberFormat="1" applyFont="1" applyFill="1" applyBorder="1" applyAlignment="1">
      <alignment horizontal="left" vertical="center" wrapText="1"/>
    </xf>
    <xf numFmtId="38" fontId="11" fillId="13" borderId="2" xfId="2" applyFont="1" applyFill="1" applyBorder="1" applyAlignment="1" applyProtection="1">
      <alignment horizontal="left" vertical="center" indent="1"/>
    </xf>
    <xf numFmtId="38" fontId="12" fillId="14" borderId="2" xfId="1" applyNumberFormat="1" applyFont="1" applyFill="1" applyBorder="1" applyAlignment="1">
      <alignment horizontal="left" vertical="center" wrapText="1"/>
    </xf>
    <xf numFmtId="38" fontId="12" fillId="0" borderId="2" xfId="2" applyFont="1" applyFill="1" applyBorder="1" applyAlignment="1" applyProtection="1">
      <alignment horizontal="left" vertical="center" indent="1" shrinkToFit="1"/>
    </xf>
    <xf numFmtId="38" fontId="12" fillId="15" borderId="2" xfId="1" applyNumberFormat="1" applyFont="1" applyFill="1" applyBorder="1" applyAlignment="1" applyProtection="1">
      <alignment horizontal="left" vertical="center" wrapText="1"/>
      <protection locked="0"/>
    </xf>
    <xf numFmtId="38" fontId="13" fillId="18" borderId="2" xfId="2" applyFont="1" applyFill="1" applyBorder="1" applyAlignment="1" applyProtection="1">
      <alignment horizontal="center" vertical="center"/>
      <protection locked="0"/>
    </xf>
    <xf numFmtId="0" fontId="4" fillId="0" borderId="0" xfId="1" applyFont="1" applyAlignment="1" applyProtection="1">
      <alignment horizontal="center" vertical="center"/>
      <protection locked="0"/>
    </xf>
    <xf numFmtId="0" fontId="4" fillId="0" borderId="1" xfId="1" applyFont="1" applyBorder="1" applyAlignment="1" applyProtection="1">
      <alignment horizontal="center" vertical="center"/>
      <protection locked="0"/>
    </xf>
    <xf numFmtId="38" fontId="19" fillId="0" borderId="2" xfId="1" applyNumberFormat="1" applyFont="1" applyBorder="1" applyAlignment="1" applyProtection="1">
      <alignment horizontal="center" vertical="center"/>
      <protection hidden="1"/>
    </xf>
    <xf numFmtId="0" fontId="19" fillId="0" borderId="2" xfId="1" applyFont="1" applyBorder="1" applyAlignment="1" applyProtection="1">
      <alignment horizontal="center" vertical="center"/>
      <protection hidden="1"/>
    </xf>
    <xf numFmtId="38" fontId="19" fillId="17" borderId="3" xfId="1" applyNumberFormat="1" applyFont="1" applyFill="1" applyBorder="1" applyAlignment="1" applyProtection="1">
      <alignment horizontal="right" vertical="center" shrinkToFit="1"/>
      <protection hidden="1"/>
    </xf>
    <xf numFmtId="0" fontId="19" fillId="17" borderId="4" xfId="1" applyFont="1" applyFill="1" applyBorder="1" applyAlignment="1" applyProtection="1">
      <alignment horizontal="right" vertical="center" shrinkToFit="1"/>
      <protection hidden="1"/>
    </xf>
    <xf numFmtId="0" fontId="13" fillId="0" borderId="14" xfId="1" applyFont="1" applyBorder="1" applyAlignment="1" applyProtection="1">
      <alignment horizontal="center" vertical="center" textRotation="255"/>
      <protection locked="0"/>
    </xf>
    <xf numFmtId="0" fontId="13" fillId="0" borderId="16" xfId="1" applyFont="1" applyBorder="1" applyAlignment="1" applyProtection="1">
      <alignment horizontal="center" vertical="center" textRotation="255"/>
      <protection locked="0"/>
    </xf>
    <xf numFmtId="0" fontId="13" fillId="0" borderId="20" xfId="1" applyFont="1" applyBorder="1" applyAlignment="1" applyProtection="1">
      <alignment horizontal="center" vertical="center" textRotation="255"/>
      <protection locked="0"/>
    </xf>
    <xf numFmtId="0" fontId="13" fillId="0" borderId="21" xfId="1" applyFont="1" applyBorder="1" applyAlignment="1" applyProtection="1">
      <alignment horizontal="center" vertical="center" textRotation="255"/>
      <protection locked="0"/>
    </xf>
    <xf numFmtId="38" fontId="13" fillId="0" borderId="10" xfId="2" applyFont="1" applyFill="1" applyBorder="1" applyAlignment="1" applyProtection="1">
      <alignment horizontal="center" vertical="center"/>
      <protection locked="0"/>
    </xf>
    <xf numFmtId="38" fontId="13" fillId="0" borderId="13" xfId="2" applyFont="1" applyFill="1" applyBorder="1" applyAlignment="1" applyProtection="1">
      <alignment horizontal="center" vertical="center"/>
      <protection locked="0"/>
    </xf>
    <xf numFmtId="38" fontId="13" fillId="0" borderId="10" xfId="2" applyFont="1" applyFill="1" applyBorder="1" applyAlignment="1" applyProtection="1">
      <alignment horizontal="center" vertical="center" wrapText="1"/>
      <protection locked="0"/>
    </xf>
    <xf numFmtId="0" fontId="16" fillId="0" borderId="10" xfId="2" applyNumberFormat="1" applyFont="1" applyFill="1" applyBorder="1" applyAlignment="1" applyProtection="1">
      <alignment horizontal="center" vertical="center" wrapText="1" shrinkToFit="1"/>
      <protection locked="0"/>
    </xf>
    <xf numFmtId="0" fontId="16" fillId="0" borderId="13" xfId="2" applyNumberFormat="1" applyFont="1" applyFill="1" applyBorder="1" applyAlignment="1" applyProtection="1">
      <alignment horizontal="center" vertical="center" wrapText="1" shrinkToFit="1"/>
      <protection locked="0"/>
    </xf>
    <xf numFmtId="0" fontId="13" fillId="0" borderId="10" xfId="2" applyNumberFormat="1" applyFont="1" applyFill="1" applyBorder="1" applyAlignment="1" applyProtection="1">
      <alignment horizontal="center" vertical="center" wrapText="1"/>
      <protection locked="0"/>
    </xf>
    <xf numFmtId="0" fontId="13" fillId="0" borderId="13" xfId="2" applyNumberFormat="1" applyFont="1" applyFill="1" applyBorder="1" applyAlignment="1" applyProtection="1">
      <alignment horizontal="center" vertical="center"/>
      <protection locked="0"/>
    </xf>
    <xf numFmtId="0" fontId="13" fillId="0" borderId="3" xfId="1" applyFont="1" applyBorder="1" applyAlignment="1" applyProtection="1">
      <alignment horizontal="center" vertical="center"/>
      <protection locked="0"/>
    </xf>
    <xf numFmtId="0" fontId="13" fillId="0" borderId="4" xfId="1" applyFont="1" applyBorder="1" applyAlignment="1" applyProtection="1">
      <alignment horizontal="center" vertical="center"/>
      <protection locked="0"/>
    </xf>
    <xf numFmtId="38" fontId="13" fillId="16" borderId="2" xfId="2" applyFont="1" applyFill="1" applyBorder="1" applyAlignment="1" applyProtection="1">
      <alignment horizontal="center" vertical="center" textRotation="255"/>
      <protection locked="0"/>
    </xf>
    <xf numFmtId="38" fontId="13" fillId="19" borderId="2" xfId="2" applyFont="1" applyFill="1" applyBorder="1" applyAlignment="1" applyProtection="1">
      <alignment horizontal="center" vertical="center" textRotation="255"/>
      <protection locked="0"/>
    </xf>
    <xf numFmtId="49" fontId="16" fillId="19" borderId="2" xfId="2" applyNumberFormat="1" applyFont="1" applyFill="1" applyBorder="1" applyAlignment="1" applyProtection="1">
      <alignment horizontal="center" vertical="center"/>
    </xf>
    <xf numFmtId="49" fontId="20" fillId="16" borderId="2" xfId="2" applyNumberFormat="1" applyFont="1" applyFill="1" applyBorder="1" applyAlignment="1" applyProtection="1">
      <alignment horizontal="center" vertical="center"/>
    </xf>
    <xf numFmtId="38" fontId="13" fillId="11" borderId="2" xfId="2" applyFont="1" applyFill="1" applyBorder="1" applyAlignment="1" applyProtection="1">
      <alignment horizontal="center" vertical="center" textRotation="255"/>
      <protection locked="0"/>
    </xf>
    <xf numFmtId="38" fontId="13" fillId="20" borderId="2" xfId="2" applyFont="1" applyFill="1" applyBorder="1" applyAlignment="1" applyProtection="1">
      <alignment horizontal="center" vertical="center" textRotation="255"/>
      <protection locked="0"/>
    </xf>
    <xf numFmtId="49" fontId="16" fillId="20" borderId="2" xfId="2" applyNumberFormat="1" applyFont="1" applyFill="1" applyBorder="1" applyAlignment="1" applyProtection="1">
      <alignment horizontal="center" vertical="center"/>
    </xf>
    <xf numFmtId="49" fontId="20" fillId="11" borderId="2" xfId="2" applyNumberFormat="1" applyFont="1" applyFill="1" applyBorder="1" applyAlignment="1" applyProtection="1">
      <alignment horizontal="center" vertical="center"/>
    </xf>
    <xf numFmtId="38" fontId="13" fillId="13" borderId="2" xfId="2" applyFont="1" applyFill="1" applyBorder="1" applyAlignment="1" applyProtection="1">
      <alignment horizontal="center" vertical="center" textRotation="255"/>
      <protection locked="0"/>
    </xf>
    <xf numFmtId="38" fontId="13" fillId="21" borderId="2" xfId="2" applyFont="1" applyFill="1" applyBorder="1" applyAlignment="1" applyProtection="1">
      <alignment horizontal="center" vertical="center" textRotation="255"/>
      <protection locked="0"/>
    </xf>
    <xf numFmtId="49" fontId="13" fillId="21" borderId="2" xfId="2" applyNumberFormat="1" applyFont="1" applyFill="1" applyBorder="1" applyAlignment="1" applyProtection="1">
      <alignment horizontal="center" vertical="center"/>
    </xf>
    <xf numFmtId="49" fontId="20" fillId="13" borderId="2" xfId="2" applyNumberFormat="1" applyFont="1" applyFill="1" applyBorder="1" applyAlignment="1" applyProtection="1">
      <alignment horizontal="center" vertical="center"/>
    </xf>
    <xf numFmtId="38" fontId="13" fillId="8" borderId="2" xfId="2" applyFont="1" applyFill="1" applyBorder="1" applyAlignment="1" applyProtection="1">
      <alignment horizontal="center" vertical="center" textRotation="255"/>
      <protection locked="0"/>
    </xf>
    <xf numFmtId="49" fontId="20" fillId="8" borderId="2" xfId="2" applyNumberFormat="1" applyFont="1" applyFill="1" applyBorder="1" applyAlignment="1" applyProtection="1">
      <alignment horizontal="center" vertical="center"/>
    </xf>
    <xf numFmtId="38" fontId="13" fillId="9" borderId="2" xfId="2" applyFont="1" applyFill="1" applyBorder="1" applyAlignment="1" applyProtection="1">
      <alignment horizontal="center" vertical="center" textRotation="255"/>
      <protection locked="0"/>
    </xf>
    <xf numFmtId="49" fontId="20" fillId="9" borderId="2" xfId="2" applyNumberFormat="1" applyFont="1" applyFill="1" applyBorder="1" applyAlignment="1" applyProtection="1">
      <alignment horizontal="center" vertical="center"/>
    </xf>
    <xf numFmtId="38" fontId="13" fillId="10" borderId="2" xfId="2" applyFont="1" applyFill="1" applyBorder="1" applyAlignment="1" applyProtection="1">
      <alignment horizontal="center" vertical="center" textRotation="255"/>
      <protection locked="0"/>
    </xf>
    <xf numFmtId="49" fontId="20" fillId="10" borderId="2" xfId="2" applyNumberFormat="1" applyFont="1" applyFill="1" applyBorder="1" applyAlignment="1" applyProtection="1">
      <alignment horizontal="center" vertical="center"/>
    </xf>
    <xf numFmtId="38" fontId="20" fillId="0" borderId="15" xfId="2" applyFont="1" applyFill="1" applyBorder="1" applyAlignment="1" applyProtection="1">
      <alignment horizontal="right" vertical="center"/>
      <protection locked="0"/>
    </xf>
    <xf numFmtId="38" fontId="20" fillId="0" borderId="22" xfId="2" applyFont="1" applyFill="1" applyBorder="1" applyAlignment="1" applyProtection="1">
      <alignment horizontal="right" vertical="center"/>
      <protection locked="0"/>
    </xf>
    <xf numFmtId="38" fontId="20" fillId="0" borderId="0" xfId="2" applyFont="1" applyFill="1" applyBorder="1" applyAlignment="1" applyProtection="1">
      <alignment horizontal="right" vertical="center"/>
      <protection locked="0"/>
    </xf>
    <xf numFmtId="38" fontId="20" fillId="0" borderId="25" xfId="2" applyFont="1" applyFill="1" applyBorder="1" applyAlignment="1" applyProtection="1">
      <alignment horizontal="right" vertical="center"/>
      <protection locked="0"/>
    </xf>
    <xf numFmtId="38" fontId="13" fillId="12" borderId="2" xfId="2" applyFont="1" applyFill="1" applyBorder="1" applyAlignment="1" applyProtection="1">
      <alignment horizontal="center" vertical="center" textRotation="255"/>
      <protection locked="0"/>
    </xf>
    <xf numFmtId="49" fontId="20" fillId="12" borderId="2" xfId="2" applyNumberFormat="1" applyFont="1" applyFill="1" applyBorder="1" applyAlignment="1" applyProtection="1">
      <alignment horizontal="center" vertical="center"/>
    </xf>
    <xf numFmtId="38" fontId="11" fillId="22" borderId="2" xfId="2" applyFont="1" applyFill="1" applyBorder="1" applyAlignment="1" applyProtection="1">
      <alignment horizontal="center" vertical="center" textRotation="255" shrinkToFit="1"/>
      <protection locked="0"/>
    </xf>
    <xf numFmtId="49" fontId="22" fillId="22" borderId="2" xfId="2" applyNumberFormat="1" applyFont="1" applyFill="1" applyBorder="1" applyAlignment="1" applyProtection="1">
      <alignment horizontal="center" vertical="center"/>
    </xf>
    <xf numFmtId="38" fontId="11" fillId="15" borderId="2" xfId="2" applyFont="1" applyFill="1" applyBorder="1" applyAlignment="1" applyProtection="1">
      <alignment horizontal="center" vertical="center" textRotation="255" shrinkToFit="1"/>
      <protection locked="0"/>
    </xf>
    <xf numFmtId="0" fontId="22" fillId="15" borderId="2" xfId="2" applyNumberFormat="1" applyFont="1" applyFill="1" applyBorder="1" applyAlignment="1" applyProtection="1">
      <alignment horizontal="center" vertical="center"/>
    </xf>
  </cellXfs>
  <cellStyles count="3">
    <cellStyle name="桁区切り 2" xfId="2" xr:uid="{8179BBFC-46A3-0941-9F08-50E685448162}"/>
    <cellStyle name="標準" xfId="0" builtinId="0"/>
    <cellStyle name="標準 3 2" xfId="1" xr:uid="{DDC9A844-BE11-4D4F-AAB6-F1AAE3C9D9F3}"/>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996E-3142-084A-AC1D-5F5270E4C86A}">
  <sheetPr codeName="Sheet4">
    <tabColor theme="5" tint="0.59999389629810485"/>
    <pageSetUpPr fitToPage="1"/>
  </sheetPr>
  <dimension ref="A1:L101"/>
  <sheetViews>
    <sheetView showGridLines="0" zoomScaleNormal="100" zoomScaleSheetLayoutView="74" workbookViewId="0">
      <selection activeCell="I60" sqref="I60"/>
    </sheetView>
  </sheetViews>
  <sheetFormatPr baseColWidth="10" defaultColWidth="7.7109375" defaultRowHeight="14"/>
  <cols>
    <col min="1" max="1" width="0.7109375" style="2" customWidth="1"/>
    <col min="2" max="2" width="3" style="1" customWidth="1"/>
    <col min="3" max="5" width="17.7109375" style="1" customWidth="1"/>
    <col min="6" max="7" width="3" style="1" customWidth="1"/>
    <col min="8" max="10" width="17.7109375" style="1" customWidth="1"/>
    <col min="11" max="11" width="0.7109375" style="2" customWidth="1"/>
    <col min="12" max="12" width="15.140625" style="2" customWidth="1"/>
    <col min="13" max="16384" width="7.7109375" style="1"/>
  </cols>
  <sheetData>
    <row r="1" spans="2:10" ht="8.5" customHeight="1"/>
    <row r="2" spans="2:10" ht="25" customHeight="1">
      <c r="B2" s="134" t="s">
        <v>0</v>
      </c>
      <c r="C2" s="134"/>
      <c r="D2" s="134"/>
      <c r="E2" s="134"/>
      <c r="F2" s="135"/>
      <c r="G2" s="136" t="s">
        <v>95</v>
      </c>
      <c r="H2" s="136"/>
      <c r="I2" s="3" t="s">
        <v>1</v>
      </c>
      <c r="J2" s="4" t="s">
        <v>96</v>
      </c>
    </row>
    <row r="3" spans="2:10" ht="10" customHeight="1" thickBot="1">
      <c r="E3" s="5"/>
      <c r="F3" s="6"/>
      <c r="G3" s="6"/>
      <c r="J3" s="6"/>
    </row>
    <row r="4" spans="2:10" ht="25" customHeight="1" thickBot="1">
      <c r="B4" s="137" t="s">
        <v>2</v>
      </c>
      <c r="C4" s="138"/>
      <c r="D4" s="7"/>
      <c r="G4" s="139" t="s">
        <v>3</v>
      </c>
      <c r="H4" s="140"/>
      <c r="I4" s="141"/>
      <c r="J4" s="8">
        <f ca="1">E19-J19</f>
        <v>0</v>
      </c>
    </row>
    <row r="5" spans="2:10" ht="10" customHeight="1"/>
    <row r="6" spans="2:10" s="10" customFormat="1" ht="25" customHeight="1">
      <c r="B6" s="142"/>
      <c r="C6" s="142"/>
      <c r="D6" s="9" t="s">
        <v>4</v>
      </c>
      <c r="E6" s="9" t="s">
        <v>5</v>
      </c>
      <c r="G6" s="143" t="s">
        <v>6</v>
      </c>
      <c r="H6" s="144"/>
      <c r="I6" s="145"/>
      <c r="J6" s="11">
        <f>D17-D4</f>
        <v>0</v>
      </c>
    </row>
    <row r="7" spans="2:10" ht="25" customHeight="1">
      <c r="B7" s="146" t="s">
        <v>7</v>
      </c>
      <c r="C7" s="146"/>
      <c r="D7" s="12"/>
      <c r="E7" s="13"/>
      <c r="G7" s="147" t="s">
        <v>8</v>
      </c>
      <c r="H7" s="150" t="s">
        <v>9</v>
      </c>
      <c r="I7" s="150"/>
      <c r="J7" s="14"/>
    </row>
    <row r="8" spans="2:10" ht="25" customHeight="1">
      <c r="B8" s="146" t="s">
        <v>10</v>
      </c>
      <c r="C8" s="146"/>
      <c r="D8" s="12"/>
      <c r="E8" s="151"/>
      <c r="G8" s="148"/>
      <c r="H8" s="150" t="s">
        <v>11</v>
      </c>
      <c r="I8" s="150"/>
      <c r="J8" s="14"/>
    </row>
    <row r="9" spans="2:10" ht="25" customHeight="1">
      <c r="B9" s="152" t="s">
        <v>12</v>
      </c>
      <c r="C9" s="153"/>
      <c r="D9" s="12"/>
      <c r="E9" s="151"/>
      <c r="G9" s="148"/>
      <c r="H9" s="154" t="s">
        <v>13</v>
      </c>
      <c r="I9" s="154"/>
      <c r="J9" s="15"/>
    </row>
    <row r="10" spans="2:10" ht="25" customHeight="1">
      <c r="B10" s="146" t="s">
        <v>14</v>
      </c>
      <c r="C10" s="146"/>
      <c r="D10" s="12"/>
      <c r="E10" s="13"/>
      <c r="G10" s="148"/>
      <c r="H10" s="154" t="s">
        <v>15</v>
      </c>
      <c r="I10" s="154"/>
      <c r="J10" s="15"/>
    </row>
    <row r="11" spans="2:10" ht="25" customHeight="1">
      <c r="B11" s="146" t="s">
        <v>16</v>
      </c>
      <c r="C11" s="146"/>
      <c r="D11" s="12"/>
      <c r="E11" s="13"/>
      <c r="G11" s="149"/>
      <c r="H11" s="155" t="s">
        <v>17</v>
      </c>
      <c r="I11" s="155"/>
      <c r="J11" s="16">
        <f>J6-SUM(J7:J10)</f>
        <v>0</v>
      </c>
    </row>
    <row r="12" spans="2:10" ht="25" customHeight="1">
      <c r="B12" s="146" t="s">
        <v>18</v>
      </c>
      <c r="C12" s="146"/>
      <c r="D12" s="12"/>
      <c r="E12" s="13"/>
      <c r="G12" s="156" t="s">
        <v>19</v>
      </c>
      <c r="H12" s="159" t="s">
        <v>20</v>
      </c>
      <c r="I12" s="159"/>
      <c r="J12" s="17">
        <f>保険請求管理報告書B!L47*(-1)</f>
        <v>0</v>
      </c>
    </row>
    <row r="13" spans="2:10" ht="25" customHeight="1">
      <c r="B13" s="146" t="s">
        <v>21</v>
      </c>
      <c r="C13" s="146"/>
      <c r="D13" s="12"/>
      <c r="E13" s="18"/>
      <c r="G13" s="157"/>
      <c r="H13" s="160" t="s">
        <v>22</v>
      </c>
      <c r="I13" s="160"/>
      <c r="J13" s="19">
        <f>保険請求管理報告書B!L54*(-1)</f>
        <v>0</v>
      </c>
    </row>
    <row r="14" spans="2:10" ht="25" customHeight="1">
      <c r="B14" s="161" t="s">
        <v>23</v>
      </c>
      <c r="C14" s="161"/>
      <c r="D14" s="12"/>
      <c r="E14" s="13"/>
      <c r="G14" s="157"/>
      <c r="H14" s="162" t="s">
        <v>24</v>
      </c>
      <c r="I14" s="162"/>
      <c r="J14" s="20">
        <f>保険請求管理報告書B!L61*(-1)</f>
        <v>0</v>
      </c>
    </row>
    <row r="15" spans="2:10" ht="25" customHeight="1">
      <c r="B15" s="163" t="s">
        <v>25</v>
      </c>
      <c r="C15" s="163"/>
      <c r="D15" s="21">
        <f>保険請求管理報告書B!K29</f>
        <v>0</v>
      </c>
      <c r="E15" s="172" t="s">
        <v>26</v>
      </c>
      <c r="G15" s="157"/>
      <c r="H15" s="174" t="s">
        <v>27</v>
      </c>
      <c r="I15" s="174"/>
      <c r="J15" s="23">
        <f>保険請求管理報告書B!L68*(-1)</f>
        <v>0</v>
      </c>
    </row>
    <row r="16" spans="2:10" ht="25" customHeight="1">
      <c r="B16" s="175" t="s">
        <v>28</v>
      </c>
      <c r="C16" s="175"/>
      <c r="D16" s="24">
        <f>保険請求管理報告書B!L40</f>
        <v>0</v>
      </c>
      <c r="E16" s="173"/>
      <c r="G16" s="157"/>
      <c r="H16" s="176" t="s">
        <v>29</v>
      </c>
      <c r="I16" s="176"/>
      <c r="J16" s="25">
        <f>保険請求管理報告書B!L75*(-1)</f>
        <v>0</v>
      </c>
    </row>
    <row r="17" spans="2:10" ht="25" customHeight="1">
      <c r="B17" s="177" t="s">
        <v>30</v>
      </c>
      <c r="C17" s="177"/>
      <c r="D17" s="26">
        <f>SUM(D7:D14)-D15+D16</f>
        <v>0</v>
      </c>
      <c r="E17" s="27"/>
      <c r="G17" s="158"/>
      <c r="H17" s="178" t="s">
        <v>31</v>
      </c>
      <c r="I17" s="178"/>
      <c r="J17" s="28">
        <f>保険請求管理報告書B!L78*(-1)</f>
        <v>0</v>
      </c>
    </row>
    <row r="18" spans="2:10" ht="25" customHeight="1" thickBot="1">
      <c r="B18" s="164" t="s">
        <v>32</v>
      </c>
      <c r="C18" s="164"/>
      <c r="D18" s="29">
        <f ca="1">保険請求管理報告書B!K18</f>
        <v>0</v>
      </c>
      <c r="E18" s="22" t="s">
        <v>33</v>
      </c>
      <c r="G18" s="165" t="s">
        <v>34</v>
      </c>
      <c r="H18" s="166"/>
      <c r="I18" s="167"/>
      <c r="J18" s="30"/>
    </row>
    <row r="19" spans="2:10" ht="25" customHeight="1" thickBot="1">
      <c r="B19" s="168" t="s">
        <v>35</v>
      </c>
      <c r="C19" s="169"/>
      <c r="D19" s="31">
        <f ca="1">SUM(D7:D14)+D18</f>
        <v>0</v>
      </c>
      <c r="E19" s="32">
        <f>SUM(E7:E15)</f>
        <v>0</v>
      </c>
      <c r="G19" s="170" t="s">
        <v>36</v>
      </c>
      <c r="H19" s="171"/>
      <c r="I19" s="171"/>
      <c r="J19" s="33">
        <f ca="1">D19+SUM(J12:J18)</f>
        <v>0</v>
      </c>
    </row>
    <row r="20" spans="2:10" ht="25" customHeight="1">
      <c r="B20" s="34"/>
      <c r="C20" s="34"/>
      <c r="D20" s="35"/>
      <c r="E20" s="35"/>
      <c r="G20" s="36"/>
    </row>
    <row r="21" spans="2:10" ht="18" customHeight="1">
      <c r="B21" s="34"/>
      <c r="C21" s="34"/>
      <c r="D21" s="35"/>
      <c r="E21" s="35"/>
      <c r="F21" s="37"/>
      <c r="G21" s="36"/>
    </row>
    <row r="22" spans="2:10" ht="18" customHeight="1">
      <c r="B22" s="37"/>
      <c r="C22" s="37"/>
      <c r="D22" s="37"/>
      <c r="E22" s="37"/>
      <c r="F22" s="37"/>
    </row>
    <row r="23" spans="2:10" ht="18" customHeight="1">
      <c r="B23" s="37"/>
      <c r="C23" s="37"/>
      <c r="D23" s="37"/>
      <c r="E23" s="37"/>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1E588826-27D3-9845-81C9-29FAF246F347}"/>
    <dataValidation imeMode="hiragana" allowBlank="1" showInputMessage="1" showErrorMessage="1" sqref="D6:E6 D4:D5 H12:H15 J2:M2 E5:O5 G6:G7 G12 I3:O3 J6:J11 E4:G4 J4:N4 F6:F20 K6:M20 B24:E65523 H20:H65521 C5:C21 B3:B22 A1:A1048576 G22:G65521 F23:F65522 G18:G19 I20:J1048576 K21:O1048576 J18:J19" xr:uid="{170BA285-87EF-FF47-AF34-0B725FBCB2F3}"/>
  </dataValidations>
  <pageMargins left="0.7" right="0.7" top="0.75" bottom="0.75" header="0.3" footer="0.3"/>
  <pageSetup paperSize="9" scale="6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6FC90-98D1-F443-ACD4-16D07CEA923A}">
  <sheetPr codeName="Sheet5">
    <pageSetUpPr fitToPage="1"/>
  </sheetPr>
  <dimension ref="A1:P127"/>
  <sheetViews>
    <sheetView showGridLines="0" tabSelected="1" view="pageBreakPreview" topLeftCell="D1" zoomScaleNormal="100" zoomScaleSheetLayoutView="100" workbookViewId="0">
      <pane ySplit="5" topLeftCell="A54" activePane="bottomLeft" state="frozen"/>
      <selection activeCell="E26" sqref="E26"/>
      <selection pane="bottomLeft" activeCell="I85" sqref="I85"/>
    </sheetView>
  </sheetViews>
  <sheetFormatPr baseColWidth="10" defaultColWidth="7.7109375" defaultRowHeight="14"/>
  <cols>
    <col min="1" max="2" width="3.140625" style="38" customWidth="1"/>
    <col min="3" max="3" width="12.85546875" style="38" customWidth="1"/>
    <col min="4" max="4" width="17.7109375" style="38" customWidth="1"/>
    <col min="5" max="5" width="5.85546875" style="38" customWidth="1"/>
    <col min="6" max="7" width="22" style="38" customWidth="1"/>
    <col min="8" max="8" width="17.7109375" style="38" customWidth="1"/>
    <col min="9" max="9" width="3.85546875" style="38" customWidth="1"/>
    <col min="10" max="10" width="7.42578125" style="38" customWidth="1"/>
    <col min="11" max="11" width="9" style="38" customWidth="1"/>
    <col min="12" max="12" width="9.5703125" style="38" customWidth="1"/>
    <col min="13" max="13" width="17.7109375" style="38" customWidth="1"/>
    <col min="14" max="15" width="1.7109375" style="38" customWidth="1"/>
    <col min="16" max="16384" width="7.7109375" style="38"/>
  </cols>
  <sheetData>
    <row r="1" spans="1:16" ht="27" customHeight="1">
      <c r="A1" s="180" t="s">
        <v>37</v>
      </c>
      <c r="B1" s="180"/>
      <c r="C1" s="180"/>
      <c r="D1" s="180"/>
      <c r="E1" s="180"/>
      <c r="F1" s="180"/>
      <c r="G1" s="181"/>
      <c r="H1" s="182" t="str">
        <f>保険請求管理報告書A!G2</f>
        <v>2024年3月調剤分</v>
      </c>
      <c r="I1" s="183"/>
      <c r="J1" s="182" t="str">
        <f>保険請求管理報告書A!I2</f>
        <v>4月10日請求分</v>
      </c>
      <c r="K1" s="183"/>
      <c r="L1" s="184" t="str">
        <f>保険請求管理報告書A!J2</f>
        <v>神居３条店</v>
      </c>
      <c r="M1" s="185"/>
    </row>
    <row r="2" spans="1:16" ht="15" customHeight="1">
      <c r="C2" s="39" t="s">
        <v>38</v>
      </c>
      <c r="D2" s="40"/>
      <c r="P2" s="41"/>
    </row>
    <row r="3" spans="1:16" ht="15" customHeight="1">
      <c r="C3" s="42" t="s">
        <v>39</v>
      </c>
      <c r="P3" s="41"/>
    </row>
    <row r="4" spans="1:16" s="43" customFormat="1" ht="16.5" customHeight="1">
      <c r="A4" s="186" t="s">
        <v>40</v>
      </c>
      <c r="B4" s="187"/>
      <c r="C4" s="190" t="s">
        <v>41</v>
      </c>
      <c r="D4" s="192" t="s">
        <v>42</v>
      </c>
      <c r="E4" s="190" t="s">
        <v>43</v>
      </c>
      <c r="F4" s="190" t="s">
        <v>44</v>
      </c>
      <c r="G4" s="190" t="s">
        <v>8</v>
      </c>
      <c r="H4" s="192" t="s">
        <v>45</v>
      </c>
      <c r="I4" s="193" t="s">
        <v>46</v>
      </c>
      <c r="J4" s="195" t="s">
        <v>47</v>
      </c>
      <c r="K4" s="197" t="s">
        <v>48</v>
      </c>
      <c r="L4" s="198"/>
      <c r="M4" s="190" t="s">
        <v>49</v>
      </c>
      <c r="P4" s="44"/>
    </row>
    <row r="5" spans="1:16" s="46" customFormat="1" ht="16.5" customHeight="1">
      <c r="A5" s="188"/>
      <c r="B5" s="189"/>
      <c r="C5" s="191"/>
      <c r="D5" s="191"/>
      <c r="E5" s="191"/>
      <c r="F5" s="191"/>
      <c r="G5" s="191"/>
      <c r="H5" s="191"/>
      <c r="I5" s="194"/>
      <c r="J5" s="196"/>
      <c r="K5" s="45" t="s">
        <v>50</v>
      </c>
      <c r="L5" s="45" t="s">
        <v>51</v>
      </c>
      <c r="M5" s="191"/>
      <c r="P5" s="47"/>
    </row>
    <row r="6" spans="1:16" s="43" customFormat="1" ht="18" customHeight="1">
      <c r="A6" s="179" t="s">
        <v>52</v>
      </c>
      <c r="B6" s="179"/>
      <c r="C6" s="48" t="s">
        <v>53</v>
      </c>
      <c r="D6" s="48"/>
      <c r="E6" s="49" t="s">
        <v>54</v>
      </c>
      <c r="F6" s="49" t="s">
        <v>55</v>
      </c>
      <c r="G6" s="49" t="s">
        <v>56</v>
      </c>
      <c r="H6" s="49" t="s">
        <v>57</v>
      </c>
      <c r="I6" s="50">
        <v>7</v>
      </c>
      <c r="J6" s="50">
        <v>10000</v>
      </c>
      <c r="K6" s="51"/>
      <c r="L6" s="50">
        <v>70000</v>
      </c>
      <c r="M6" s="52" t="s">
        <v>58</v>
      </c>
    </row>
    <row r="7" spans="1:16" s="43" customFormat="1" ht="18" customHeight="1">
      <c r="A7" s="179" t="s">
        <v>52</v>
      </c>
      <c r="B7" s="179"/>
      <c r="C7" s="48" t="s">
        <v>59</v>
      </c>
      <c r="D7" s="48"/>
      <c r="E7" s="49" t="s">
        <v>60</v>
      </c>
      <c r="F7" s="49" t="s">
        <v>61</v>
      </c>
      <c r="G7" s="49" t="s">
        <v>62</v>
      </c>
      <c r="H7" s="49" t="s">
        <v>63</v>
      </c>
      <c r="I7" s="50">
        <v>7</v>
      </c>
      <c r="J7" s="50">
        <v>1750</v>
      </c>
      <c r="K7" s="50">
        <v>12250</v>
      </c>
      <c r="L7" s="51"/>
      <c r="M7" s="52" t="s">
        <v>64</v>
      </c>
    </row>
    <row r="8" spans="1:16" s="43" customFormat="1" ht="18" customHeight="1">
      <c r="A8" s="199" t="s">
        <v>65</v>
      </c>
      <c r="B8" s="200" t="s">
        <v>66</v>
      </c>
      <c r="C8" s="53"/>
      <c r="D8" s="53"/>
      <c r="E8" s="54"/>
      <c r="F8" s="54"/>
      <c r="G8" s="54"/>
      <c r="H8" s="54"/>
      <c r="I8" s="55"/>
      <c r="J8" s="56"/>
      <c r="K8" s="55">
        <f>I8*J8</f>
        <v>0</v>
      </c>
      <c r="L8" s="57"/>
      <c r="M8" s="58"/>
    </row>
    <row r="9" spans="1:16" s="43" customFormat="1" ht="18" customHeight="1">
      <c r="A9" s="199"/>
      <c r="B9" s="200"/>
      <c r="C9" s="53"/>
      <c r="D9" s="53"/>
      <c r="E9" s="54"/>
      <c r="F9" s="54"/>
      <c r="G9" s="54"/>
      <c r="H9" s="54"/>
      <c r="I9" s="55"/>
      <c r="J9" s="56">
        <v>0</v>
      </c>
      <c r="K9" s="55">
        <f>I9*J9</f>
        <v>0</v>
      </c>
      <c r="L9" s="57"/>
      <c r="M9" s="58"/>
    </row>
    <row r="10" spans="1:16" s="43" customFormat="1" ht="18" customHeight="1">
      <c r="A10" s="199"/>
      <c r="B10" s="200"/>
      <c r="C10" s="53"/>
      <c r="D10" s="53"/>
      <c r="E10" s="54"/>
      <c r="F10" s="54"/>
      <c r="G10" s="54"/>
      <c r="H10" s="54"/>
      <c r="I10" s="59"/>
      <c r="J10" s="60"/>
      <c r="K10" s="55">
        <f t="shared" ref="K10:K11" si="0">I10*J10</f>
        <v>0</v>
      </c>
      <c r="L10" s="57"/>
      <c r="M10" s="58"/>
    </row>
    <row r="11" spans="1:16" s="43" customFormat="1" ht="18" customHeight="1">
      <c r="A11" s="199"/>
      <c r="B11" s="200"/>
      <c r="C11" s="61"/>
      <c r="D11" s="61"/>
      <c r="E11" s="62"/>
      <c r="F11" s="62"/>
      <c r="G11" s="62"/>
      <c r="H11" s="62"/>
      <c r="I11" s="55"/>
      <c r="J11" s="56"/>
      <c r="K11" s="55">
        <f t="shared" si="0"/>
        <v>0</v>
      </c>
      <c r="L11" s="57"/>
      <c r="M11" s="58"/>
    </row>
    <row r="12" spans="1:16" s="43" customFormat="1" ht="18" customHeight="1">
      <c r="A12" s="199"/>
      <c r="B12" s="200"/>
      <c r="C12" s="63"/>
      <c r="D12" s="63"/>
      <c r="E12" s="64"/>
      <c r="F12" s="64"/>
      <c r="G12" s="64"/>
      <c r="H12" s="201" t="s">
        <v>67</v>
      </c>
      <c r="I12" s="201"/>
      <c r="J12" s="65" t="s">
        <v>68</v>
      </c>
      <c r="K12" s="65">
        <f ca="1">SUBTOTAL(9,INDIRECT("K8:K"&amp;ROW()-1))</f>
        <v>0</v>
      </c>
      <c r="L12" s="66"/>
      <c r="M12" s="67"/>
    </row>
    <row r="13" spans="1:16" s="43" customFormat="1" ht="18" customHeight="1">
      <c r="A13" s="199"/>
      <c r="B13" s="200" t="s">
        <v>69</v>
      </c>
      <c r="C13" s="53"/>
      <c r="D13" s="53"/>
      <c r="E13" s="54"/>
      <c r="F13" s="54"/>
      <c r="G13" s="54"/>
      <c r="H13" s="54"/>
      <c r="I13" s="55"/>
      <c r="J13" s="56"/>
      <c r="K13" s="55">
        <f t="shared" ref="K13:K27" si="1">I13*J13</f>
        <v>0</v>
      </c>
      <c r="L13" s="57"/>
      <c r="M13" s="58"/>
    </row>
    <row r="14" spans="1:16" s="43" customFormat="1" ht="18" customHeight="1">
      <c r="A14" s="199"/>
      <c r="B14" s="200"/>
      <c r="C14" s="53"/>
      <c r="D14" s="53"/>
      <c r="E14" s="54"/>
      <c r="F14" s="54"/>
      <c r="G14" s="54"/>
      <c r="H14" s="54"/>
      <c r="I14" s="59"/>
      <c r="J14" s="60"/>
      <c r="K14" s="55">
        <f t="shared" si="1"/>
        <v>0</v>
      </c>
      <c r="L14" s="57"/>
      <c r="M14" s="58"/>
    </row>
    <row r="15" spans="1:16" s="43" customFormat="1" ht="18" customHeight="1">
      <c r="A15" s="199"/>
      <c r="B15" s="200"/>
      <c r="C15" s="61"/>
      <c r="D15" s="61"/>
      <c r="E15" s="62"/>
      <c r="F15" s="62"/>
      <c r="G15" s="62"/>
      <c r="H15" s="62"/>
      <c r="I15" s="55"/>
      <c r="J15" s="56"/>
      <c r="K15" s="55">
        <f t="shared" si="1"/>
        <v>0</v>
      </c>
      <c r="L15" s="57"/>
      <c r="M15" s="58"/>
    </row>
    <row r="16" spans="1:16" s="43" customFormat="1" ht="18" customHeight="1">
      <c r="A16" s="199"/>
      <c r="B16" s="200"/>
      <c r="C16" s="61"/>
      <c r="D16" s="61"/>
      <c r="E16" s="62"/>
      <c r="F16" s="62"/>
      <c r="G16" s="62"/>
      <c r="H16" s="62"/>
      <c r="I16" s="55"/>
      <c r="J16" s="56"/>
      <c r="K16" s="55">
        <f>I16*J16</f>
        <v>0</v>
      </c>
      <c r="L16" s="57"/>
      <c r="M16" s="58"/>
    </row>
    <row r="17" spans="1:13" s="43" customFormat="1" ht="18" customHeight="1">
      <c r="A17" s="199"/>
      <c r="B17" s="200"/>
      <c r="C17" s="63"/>
      <c r="D17" s="63"/>
      <c r="E17" s="64"/>
      <c r="F17" s="64"/>
      <c r="G17" s="64"/>
      <c r="H17" s="201" t="s">
        <v>70</v>
      </c>
      <c r="I17" s="201"/>
      <c r="J17" s="65" t="s">
        <v>68</v>
      </c>
      <c r="K17" s="65">
        <f>SUBTOTAL(9,K13:K16)</f>
        <v>0</v>
      </c>
      <c r="L17" s="66"/>
      <c r="M17" s="67"/>
    </row>
    <row r="18" spans="1:13" s="43" customFormat="1" ht="18" customHeight="1">
      <c r="A18" s="199"/>
      <c r="B18" s="199"/>
      <c r="C18" s="199"/>
      <c r="D18" s="68"/>
      <c r="E18" s="69"/>
      <c r="F18" s="69"/>
      <c r="G18" s="69"/>
      <c r="H18" s="202" t="s">
        <v>71</v>
      </c>
      <c r="I18" s="202"/>
      <c r="J18" s="70" t="s">
        <v>72</v>
      </c>
      <c r="K18" s="70">
        <f ca="1">SUBTOTAL(9,K8:K17)</f>
        <v>0</v>
      </c>
      <c r="L18" s="71"/>
      <c r="M18" s="72"/>
    </row>
    <row r="19" spans="1:13" s="43" customFormat="1" ht="18" customHeight="1">
      <c r="A19" s="203" t="s">
        <v>73</v>
      </c>
      <c r="B19" s="204" t="s">
        <v>66</v>
      </c>
      <c r="C19" s="53"/>
      <c r="D19" s="53"/>
      <c r="E19" s="54"/>
      <c r="F19" s="54"/>
      <c r="G19" s="54"/>
      <c r="H19" s="54"/>
      <c r="I19" s="59"/>
      <c r="J19" s="59"/>
      <c r="K19" s="55">
        <f t="shared" si="1"/>
        <v>0</v>
      </c>
      <c r="L19" s="57"/>
      <c r="M19" s="58"/>
    </row>
    <row r="20" spans="1:13" s="43" customFormat="1" ht="18" customHeight="1">
      <c r="A20" s="203"/>
      <c r="B20" s="204"/>
      <c r="C20" s="53"/>
      <c r="D20" s="53"/>
      <c r="E20" s="54"/>
      <c r="F20" s="54"/>
      <c r="G20" s="54"/>
      <c r="H20" s="54"/>
      <c r="I20" s="59"/>
      <c r="J20" s="59"/>
      <c r="K20" s="55">
        <f t="shared" si="1"/>
        <v>0</v>
      </c>
      <c r="L20" s="57"/>
      <c r="M20" s="58"/>
    </row>
    <row r="21" spans="1:13" s="43" customFormat="1" ht="18" customHeight="1">
      <c r="A21" s="203"/>
      <c r="B21" s="204"/>
      <c r="C21" s="53"/>
      <c r="D21" s="53"/>
      <c r="E21" s="54"/>
      <c r="F21" s="54"/>
      <c r="G21" s="54"/>
      <c r="H21" s="54"/>
      <c r="I21" s="59"/>
      <c r="J21" s="59"/>
      <c r="K21" s="55">
        <f t="shared" si="1"/>
        <v>0</v>
      </c>
      <c r="L21" s="57"/>
      <c r="M21" s="58"/>
    </row>
    <row r="22" spans="1:13" s="43" customFormat="1" ht="18" customHeight="1">
      <c r="A22" s="203"/>
      <c r="B22" s="204"/>
      <c r="C22" s="53"/>
      <c r="D22" s="53"/>
      <c r="E22" s="54"/>
      <c r="F22" s="54"/>
      <c r="G22" s="54"/>
      <c r="H22" s="54"/>
      <c r="I22" s="59"/>
      <c r="J22" s="59"/>
      <c r="K22" s="55">
        <f t="shared" si="1"/>
        <v>0</v>
      </c>
      <c r="L22" s="57"/>
      <c r="M22" s="58"/>
    </row>
    <row r="23" spans="1:13" s="43" customFormat="1" ht="18" customHeight="1">
      <c r="A23" s="203"/>
      <c r="B23" s="204"/>
      <c r="C23" s="73"/>
      <c r="D23" s="73"/>
      <c r="E23" s="74"/>
      <c r="F23" s="74"/>
      <c r="G23" s="74"/>
      <c r="H23" s="205" t="s">
        <v>74</v>
      </c>
      <c r="I23" s="205"/>
      <c r="J23" s="75" t="s">
        <v>68</v>
      </c>
      <c r="K23" s="75">
        <f>SUBTOTAL(9,K19:K22)</f>
        <v>0</v>
      </c>
      <c r="L23" s="76"/>
      <c r="M23" s="77"/>
    </row>
    <row r="24" spans="1:13" s="43" customFormat="1" ht="18" customHeight="1">
      <c r="A24" s="203"/>
      <c r="B24" s="204" t="s">
        <v>69</v>
      </c>
      <c r="C24" s="53"/>
      <c r="D24" s="53"/>
      <c r="E24" s="54"/>
      <c r="F24" s="54"/>
      <c r="G24" s="54"/>
      <c r="H24" s="54"/>
      <c r="I24" s="59"/>
      <c r="J24" s="59"/>
      <c r="K24" s="55">
        <f t="shared" ref="K24" si="2">I24*J24</f>
        <v>0</v>
      </c>
      <c r="L24" s="57"/>
      <c r="M24" s="58"/>
    </row>
    <row r="25" spans="1:13" s="43" customFormat="1" ht="18" customHeight="1">
      <c r="A25" s="203"/>
      <c r="B25" s="204"/>
      <c r="C25" s="53"/>
      <c r="D25" s="53"/>
      <c r="E25" s="54"/>
      <c r="F25" s="54"/>
      <c r="G25" s="54"/>
      <c r="H25" s="54"/>
      <c r="I25" s="59"/>
      <c r="J25" s="59"/>
      <c r="K25" s="55">
        <f t="shared" si="1"/>
        <v>0</v>
      </c>
      <c r="L25" s="57"/>
      <c r="M25" s="58"/>
    </row>
    <row r="26" spans="1:13" s="43" customFormat="1" ht="18" customHeight="1">
      <c r="A26" s="203"/>
      <c r="B26" s="204"/>
      <c r="C26" s="61"/>
      <c r="D26" s="61"/>
      <c r="E26" s="62"/>
      <c r="F26" s="62"/>
      <c r="G26" s="62"/>
      <c r="H26" s="62"/>
      <c r="I26" s="55"/>
      <c r="J26" s="55"/>
      <c r="K26" s="55">
        <f t="shared" si="1"/>
        <v>0</v>
      </c>
      <c r="L26" s="57"/>
      <c r="M26" s="58"/>
    </row>
    <row r="27" spans="1:13" s="43" customFormat="1" ht="18" customHeight="1">
      <c r="A27" s="203"/>
      <c r="B27" s="204"/>
      <c r="C27" s="61"/>
      <c r="D27" s="61"/>
      <c r="E27" s="62"/>
      <c r="F27" s="62"/>
      <c r="G27" s="62"/>
      <c r="H27" s="62"/>
      <c r="I27" s="55"/>
      <c r="J27" s="55"/>
      <c r="K27" s="55">
        <f t="shared" si="1"/>
        <v>0</v>
      </c>
      <c r="L27" s="57"/>
      <c r="M27" s="58"/>
    </row>
    <row r="28" spans="1:13" s="43" customFormat="1" ht="18" customHeight="1">
      <c r="A28" s="203"/>
      <c r="B28" s="204"/>
      <c r="C28" s="73"/>
      <c r="D28" s="73"/>
      <c r="E28" s="74"/>
      <c r="F28" s="74"/>
      <c r="G28" s="74"/>
      <c r="H28" s="205" t="s">
        <v>75</v>
      </c>
      <c r="I28" s="205"/>
      <c r="J28" s="75" t="s">
        <v>68</v>
      </c>
      <c r="K28" s="75">
        <f>SUBTOTAL(9,K24:K27)</f>
        <v>0</v>
      </c>
      <c r="L28" s="76"/>
      <c r="M28" s="77"/>
    </row>
    <row r="29" spans="1:13" s="43" customFormat="1" ht="18" customHeight="1">
      <c r="A29" s="203"/>
      <c r="B29" s="203"/>
      <c r="C29" s="203"/>
      <c r="D29" s="78"/>
      <c r="E29" s="79"/>
      <c r="F29" s="79"/>
      <c r="G29" s="79"/>
      <c r="H29" s="206" t="s">
        <v>76</v>
      </c>
      <c r="I29" s="206"/>
      <c r="J29" s="80" t="s">
        <v>72</v>
      </c>
      <c r="K29" s="80">
        <f>SUBTOTAL(9,K19:K28)</f>
        <v>0</v>
      </c>
      <c r="L29" s="81"/>
      <c r="M29" s="82"/>
    </row>
    <row r="30" spans="1:13" s="43" customFormat="1" ht="18" customHeight="1">
      <c r="A30" s="207" t="s">
        <v>77</v>
      </c>
      <c r="B30" s="208" t="s">
        <v>66</v>
      </c>
      <c r="C30" s="53"/>
      <c r="D30" s="53"/>
      <c r="E30" s="54"/>
      <c r="F30" s="54"/>
      <c r="G30" s="54"/>
      <c r="H30" s="54"/>
      <c r="I30" s="59"/>
      <c r="J30" s="59"/>
      <c r="K30" s="57"/>
      <c r="L30" s="55">
        <f>I30*J30</f>
        <v>0</v>
      </c>
      <c r="M30" s="83"/>
    </row>
    <row r="31" spans="1:13" s="43" customFormat="1" ht="18" customHeight="1">
      <c r="A31" s="207"/>
      <c r="B31" s="208"/>
      <c r="C31" s="53"/>
      <c r="D31" s="53"/>
      <c r="E31" s="54"/>
      <c r="F31" s="54"/>
      <c r="G31" s="54"/>
      <c r="H31" s="54"/>
      <c r="I31" s="59"/>
      <c r="J31" s="59"/>
      <c r="K31" s="57"/>
      <c r="L31" s="55">
        <f>I31*J31</f>
        <v>0</v>
      </c>
      <c r="M31" s="58"/>
    </row>
    <row r="32" spans="1:13" s="43" customFormat="1" ht="18" customHeight="1">
      <c r="A32" s="207"/>
      <c r="B32" s="208"/>
      <c r="C32" s="53"/>
      <c r="D32" s="53"/>
      <c r="E32" s="54"/>
      <c r="F32" s="54"/>
      <c r="G32" s="54"/>
      <c r="H32" s="54"/>
      <c r="I32" s="59"/>
      <c r="J32" s="59"/>
      <c r="K32" s="57"/>
      <c r="L32" s="55">
        <f t="shared" ref="L32:L33" si="3">I32*J32</f>
        <v>0</v>
      </c>
      <c r="M32" s="58"/>
    </row>
    <row r="33" spans="1:13" s="43" customFormat="1" ht="18" customHeight="1">
      <c r="A33" s="207"/>
      <c r="B33" s="208"/>
      <c r="C33" s="53"/>
      <c r="D33" s="53"/>
      <c r="E33" s="54"/>
      <c r="F33" s="54"/>
      <c r="G33" s="54"/>
      <c r="H33" s="54"/>
      <c r="I33" s="59"/>
      <c r="J33" s="59"/>
      <c r="K33" s="57"/>
      <c r="L33" s="55">
        <f t="shared" si="3"/>
        <v>0</v>
      </c>
      <c r="M33" s="58"/>
    </row>
    <row r="34" spans="1:13" s="43" customFormat="1" ht="18" customHeight="1">
      <c r="A34" s="207"/>
      <c r="B34" s="208"/>
      <c r="C34" s="84"/>
      <c r="D34" s="84"/>
      <c r="E34" s="85"/>
      <c r="F34" s="85"/>
      <c r="G34" s="85"/>
      <c r="H34" s="209" t="s">
        <v>78</v>
      </c>
      <c r="I34" s="209"/>
      <c r="J34" s="86" t="s">
        <v>68</v>
      </c>
      <c r="K34" s="87"/>
      <c r="L34" s="88">
        <f>SUBTOTAL(9,L30:L33)</f>
        <v>0</v>
      </c>
      <c r="M34" s="89"/>
    </row>
    <row r="35" spans="1:13" s="43" customFormat="1" ht="18" customHeight="1">
      <c r="A35" s="207"/>
      <c r="B35" s="208" t="s">
        <v>69</v>
      </c>
      <c r="C35" s="53"/>
      <c r="D35" s="53"/>
      <c r="E35" s="54"/>
      <c r="F35" s="54"/>
      <c r="G35" s="54"/>
      <c r="H35" s="54"/>
      <c r="I35" s="59"/>
      <c r="J35" s="59"/>
      <c r="K35" s="57"/>
      <c r="L35" s="55">
        <f>I35*J35</f>
        <v>0</v>
      </c>
      <c r="M35" s="58"/>
    </row>
    <row r="36" spans="1:13" s="43" customFormat="1" ht="18" customHeight="1">
      <c r="A36" s="207"/>
      <c r="B36" s="208"/>
      <c r="C36" s="53"/>
      <c r="D36" s="53"/>
      <c r="E36" s="54"/>
      <c r="F36" s="54"/>
      <c r="G36" s="54"/>
      <c r="H36" s="54"/>
      <c r="I36" s="59"/>
      <c r="J36" s="59"/>
      <c r="K36" s="57"/>
      <c r="L36" s="55">
        <f t="shared" ref="L36:L37" si="4">I36*J36</f>
        <v>0</v>
      </c>
      <c r="M36" s="58"/>
    </row>
    <row r="37" spans="1:13" s="43" customFormat="1" ht="18" customHeight="1">
      <c r="A37" s="207"/>
      <c r="B37" s="208"/>
      <c r="C37" s="53"/>
      <c r="D37" s="53"/>
      <c r="E37" s="54"/>
      <c r="F37" s="54"/>
      <c r="G37" s="54"/>
      <c r="H37" s="54"/>
      <c r="I37" s="59"/>
      <c r="J37" s="59"/>
      <c r="K37" s="57"/>
      <c r="L37" s="55">
        <f t="shared" si="4"/>
        <v>0</v>
      </c>
      <c r="M37" s="58"/>
    </row>
    <row r="38" spans="1:13" s="43" customFormat="1" ht="18" customHeight="1">
      <c r="A38" s="207"/>
      <c r="B38" s="208"/>
      <c r="C38" s="61"/>
      <c r="D38" s="61"/>
      <c r="E38" s="62"/>
      <c r="F38" s="62"/>
      <c r="G38" s="62"/>
      <c r="H38" s="62"/>
      <c r="I38" s="55"/>
      <c r="J38" s="55"/>
      <c r="K38" s="57"/>
      <c r="L38" s="55">
        <f>I38*J38</f>
        <v>0</v>
      </c>
      <c r="M38" s="58"/>
    </row>
    <row r="39" spans="1:13" s="43" customFormat="1" ht="18" customHeight="1">
      <c r="A39" s="207"/>
      <c r="B39" s="208"/>
      <c r="C39" s="84"/>
      <c r="D39" s="84"/>
      <c r="E39" s="85"/>
      <c r="F39" s="85"/>
      <c r="G39" s="85"/>
      <c r="H39" s="209" t="s">
        <v>79</v>
      </c>
      <c r="I39" s="209"/>
      <c r="J39" s="86" t="s">
        <v>68</v>
      </c>
      <c r="K39" s="87"/>
      <c r="L39" s="88">
        <f>SUBTOTAL(9,L35:L38)</f>
        <v>0</v>
      </c>
      <c r="M39" s="89"/>
    </row>
    <row r="40" spans="1:13" s="43" customFormat="1" ht="18" customHeight="1">
      <c r="A40" s="207"/>
      <c r="B40" s="207"/>
      <c r="C40" s="207"/>
      <c r="D40" s="90"/>
      <c r="E40" s="91"/>
      <c r="F40" s="91"/>
      <c r="G40" s="91"/>
      <c r="H40" s="210" t="s">
        <v>80</v>
      </c>
      <c r="I40" s="210"/>
      <c r="J40" s="92" t="s">
        <v>72</v>
      </c>
      <c r="K40" s="93"/>
      <c r="L40" s="92">
        <f>SUBTOTAL(9,L30:L39)</f>
        <v>0</v>
      </c>
      <c r="M40" s="94"/>
    </row>
    <row r="41" spans="1:13" s="43" customFormat="1" ht="18" customHeight="1">
      <c r="A41" s="211" t="s">
        <v>81</v>
      </c>
      <c r="B41" s="211"/>
      <c r="C41" s="61"/>
      <c r="D41" s="61"/>
      <c r="E41" s="62"/>
      <c r="F41" s="62"/>
      <c r="G41" s="62"/>
      <c r="H41" s="62"/>
      <c r="I41" s="55"/>
      <c r="J41" s="55"/>
      <c r="K41" s="57"/>
      <c r="L41" s="55">
        <f>I41*J41</f>
        <v>0</v>
      </c>
      <c r="M41" s="58"/>
    </row>
    <row r="42" spans="1:13" s="43" customFormat="1" ht="18" customHeight="1">
      <c r="A42" s="211"/>
      <c r="B42" s="211"/>
      <c r="C42" s="61"/>
      <c r="D42" s="61"/>
      <c r="E42" s="62"/>
      <c r="F42" s="62"/>
      <c r="G42" s="62"/>
      <c r="H42" s="62"/>
      <c r="I42" s="55"/>
      <c r="J42" s="55"/>
      <c r="K42" s="57"/>
      <c r="L42" s="55">
        <f t="shared" ref="L42:L46" si="5">I42*J42</f>
        <v>0</v>
      </c>
      <c r="M42" s="58"/>
    </row>
    <row r="43" spans="1:13" s="43" customFormat="1" ht="18" customHeight="1">
      <c r="A43" s="211"/>
      <c r="B43" s="211"/>
      <c r="C43" s="61"/>
      <c r="D43" s="61"/>
      <c r="E43" s="62"/>
      <c r="F43" s="62"/>
      <c r="G43" s="62"/>
      <c r="H43" s="62"/>
      <c r="I43" s="55"/>
      <c r="J43" s="55"/>
      <c r="K43" s="57"/>
      <c r="L43" s="55">
        <f t="shared" si="5"/>
        <v>0</v>
      </c>
      <c r="M43" s="58"/>
    </row>
    <row r="44" spans="1:13" s="43" customFormat="1" ht="18" customHeight="1">
      <c r="A44" s="211"/>
      <c r="B44" s="211"/>
      <c r="C44" s="61"/>
      <c r="D44" s="61"/>
      <c r="E44" s="62"/>
      <c r="F44" s="62"/>
      <c r="G44" s="62"/>
      <c r="H44" s="62"/>
      <c r="I44" s="55"/>
      <c r="J44" s="55"/>
      <c r="K44" s="57"/>
      <c r="L44" s="55">
        <f t="shared" si="5"/>
        <v>0</v>
      </c>
      <c r="M44" s="58"/>
    </row>
    <row r="45" spans="1:13" s="43" customFormat="1" ht="18" customHeight="1">
      <c r="A45" s="211"/>
      <c r="B45" s="211"/>
      <c r="C45" s="61"/>
      <c r="D45" s="61"/>
      <c r="E45" s="62"/>
      <c r="F45" s="62"/>
      <c r="G45" s="62"/>
      <c r="H45" s="62"/>
      <c r="I45" s="55"/>
      <c r="J45" s="55"/>
      <c r="K45" s="57"/>
      <c r="L45" s="55">
        <f t="shared" si="5"/>
        <v>0</v>
      </c>
      <c r="M45" s="58"/>
    </row>
    <row r="46" spans="1:13" s="43" customFormat="1" ht="18" customHeight="1">
      <c r="A46" s="211"/>
      <c r="B46" s="211"/>
      <c r="C46" s="61"/>
      <c r="D46" s="61"/>
      <c r="E46" s="62"/>
      <c r="F46" s="62"/>
      <c r="G46" s="62"/>
      <c r="H46" s="62"/>
      <c r="I46" s="55"/>
      <c r="J46" s="55"/>
      <c r="K46" s="57"/>
      <c r="L46" s="55">
        <f t="shared" si="5"/>
        <v>0</v>
      </c>
      <c r="M46" s="58"/>
    </row>
    <row r="47" spans="1:13" s="43" customFormat="1" ht="18" customHeight="1">
      <c r="A47" s="211"/>
      <c r="B47" s="211"/>
      <c r="C47" s="95"/>
      <c r="D47" s="95"/>
      <c r="E47" s="96"/>
      <c r="F47" s="96"/>
      <c r="G47" s="96"/>
      <c r="H47" s="212" t="s">
        <v>82</v>
      </c>
      <c r="I47" s="212"/>
      <c r="J47" s="97" t="s">
        <v>68</v>
      </c>
      <c r="K47" s="98"/>
      <c r="L47" s="97">
        <f>SUBTOTAL(9,L41:L46)</f>
        <v>0</v>
      </c>
      <c r="M47" s="99"/>
    </row>
    <row r="48" spans="1:13" s="43" customFormat="1" ht="18" customHeight="1">
      <c r="A48" s="213" t="s">
        <v>83</v>
      </c>
      <c r="B48" s="213"/>
      <c r="C48" s="61"/>
      <c r="D48" s="61"/>
      <c r="E48" s="62"/>
      <c r="F48" s="62"/>
      <c r="G48" s="62"/>
      <c r="H48" s="62"/>
      <c r="I48" s="55"/>
      <c r="J48" s="55"/>
      <c r="K48" s="57"/>
      <c r="L48" s="55">
        <f>I48*J48</f>
        <v>0</v>
      </c>
      <c r="M48" s="58"/>
    </row>
    <row r="49" spans="1:13" s="43" customFormat="1" ht="18" customHeight="1">
      <c r="A49" s="213"/>
      <c r="B49" s="213"/>
      <c r="C49" s="61"/>
      <c r="D49" s="61"/>
      <c r="E49" s="62"/>
      <c r="F49" s="62"/>
      <c r="G49" s="62"/>
      <c r="H49" s="62"/>
      <c r="I49" s="55"/>
      <c r="J49" s="55"/>
      <c r="K49" s="57"/>
      <c r="L49" s="55">
        <f t="shared" ref="L49:L53" si="6">I49*J49</f>
        <v>0</v>
      </c>
      <c r="M49" s="58"/>
    </row>
    <row r="50" spans="1:13" s="43" customFormat="1" ht="18" customHeight="1">
      <c r="A50" s="213"/>
      <c r="B50" s="213"/>
      <c r="C50" s="61"/>
      <c r="D50" s="61"/>
      <c r="E50" s="62"/>
      <c r="F50" s="62"/>
      <c r="G50" s="62"/>
      <c r="H50" s="62"/>
      <c r="I50" s="55"/>
      <c r="J50" s="55"/>
      <c r="K50" s="57"/>
      <c r="L50" s="55">
        <f t="shared" si="6"/>
        <v>0</v>
      </c>
      <c r="M50" s="58"/>
    </row>
    <row r="51" spans="1:13" s="43" customFormat="1" ht="18" customHeight="1">
      <c r="A51" s="213"/>
      <c r="B51" s="213"/>
      <c r="C51" s="61"/>
      <c r="D51" s="61"/>
      <c r="E51" s="62"/>
      <c r="F51" s="62"/>
      <c r="G51" s="62"/>
      <c r="H51" s="62"/>
      <c r="I51" s="55"/>
      <c r="J51" s="55"/>
      <c r="K51" s="57"/>
      <c r="L51" s="55">
        <f t="shared" si="6"/>
        <v>0</v>
      </c>
      <c r="M51" s="58"/>
    </row>
    <row r="52" spans="1:13" s="43" customFormat="1" ht="18" customHeight="1">
      <c r="A52" s="213"/>
      <c r="B52" s="213"/>
      <c r="C52" s="61"/>
      <c r="D52" s="61"/>
      <c r="E52" s="62"/>
      <c r="F52" s="62"/>
      <c r="G52" s="62"/>
      <c r="H52" s="62"/>
      <c r="I52" s="55"/>
      <c r="J52" s="55"/>
      <c r="K52" s="57"/>
      <c r="L52" s="55">
        <f t="shared" si="6"/>
        <v>0</v>
      </c>
      <c r="M52" s="58"/>
    </row>
    <row r="53" spans="1:13" s="43" customFormat="1" ht="18" customHeight="1">
      <c r="A53" s="213"/>
      <c r="B53" s="213"/>
      <c r="C53" s="61"/>
      <c r="D53" s="61"/>
      <c r="E53" s="62"/>
      <c r="F53" s="62"/>
      <c r="G53" s="62"/>
      <c r="H53" s="62"/>
      <c r="I53" s="55"/>
      <c r="J53" s="55"/>
      <c r="K53" s="57"/>
      <c r="L53" s="55">
        <f t="shared" si="6"/>
        <v>0</v>
      </c>
      <c r="M53" s="58"/>
    </row>
    <row r="54" spans="1:13" s="43" customFormat="1" ht="18" customHeight="1">
      <c r="A54" s="213"/>
      <c r="B54" s="213"/>
      <c r="C54" s="100"/>
      <c r="D54" s="100"/>
      <c r="E54" s="101"/>
      <c r="F54" s="101"/>
      <c r="G54" s="101"/>
      <c r="H54" s="214" t="s">
        <v>84</v>
      </c>
      <c r="I54" s="214"/>
      <c r="J54" s="102" t="s">
        <v>68</v>
      </c>
      <c r="K54" s="103"/>
      <c r="L54" s="102">
        <f>SUBTOTAL(9,L48:L53)</f>
        <v>0</v>
      </c>
      <c r="M54" s="104"/>
    </row>
    <row r="55" spans="1:13" s="43" customFormat="1" ht="18" customHeight="1">
      <c r="A55" s="215" t="s">
        <v>85</v>
      </c>
      <c r="B55" s="215"/>
      <c r="C55" s="61"/>
      <c r="D55" s="61"/>
      <c r="E55" s="62"/>
      <c r="F55" s="62"/>
      <c r="G55" s="62"/>
      <c r="H55" s="62"/>
      <c r="I55" s="55"/>
      <c r="J55" s="55"/>
      <c r="K55" s="57"/>
      <c r="L55" s="55">
        <f t="shared" ref="L55:L60" si="7">I55*J55</f>
        <v>0</v>
      </c>
      <c r="M55" s="58"/>
    </row>
    <row r="56" spans="1:13" s="43" customFormat="1" ht="18" customHeight="1">
      <c r="A56" s="215"/>
      <c r="B56" s="215"/>
      <c r="C56" s="61"/>
      <c r="D56" s="61"/>
      <c r="E56" s="62"/>
      <c r="F56" s="62"/>
      <c r="G56" s="62"/>
      <c r="H56" s="62"/>
      <c r="I56" s="55"/>
      <c r="J56" s="55"/>
      <c r="K56" s="57"/>
      <c r="L56" s="55">
        <f t="shared" si="7"/>
        <v>0</v>
      </c>
      <c r="M56" s="58"/>
    </row>
    <row r="57" spans="1:13" s="43" customFormat="1" ht="18" customHeight="1">
      <c r="A57" s="215"/>
      <c r="B57" s="215"/>
      <c r="C57" s="61"/>
      <c r="D57" s="61"/>
      <c r="E57" s="62"/>
      <c r="F57" s="62"/>
      <c r="G57" s="62"/>
      <c r="H57" s="62"/>
      <c r="I57" s="55"/>
      <c r="J57" s="55"/>
      <c r="K57" s="57"/>
      <c r="L57" s="55">
        <f t="shared" si="7"/>
        <v>0</v>
      </c>
      <c r="M57" s="58"/>
    </row>
    <row r="58" spans="1:13" s="43" customFormat="1" ht="18" customHeight="1">
      <c r="A58" s="215"/>
      <c r="B58" s="215"/>
      <c r="C58" s="61"/>
      <c r="D58" s="61"/>
      <c r="E58" s="62"/>
      <c r="F58" s="62"/>
      <c r="G58" s="62"/>
      <c r="H58" s="62"/>
      <c r="I58" s="55"/>
      <c r="J58" s="55"/>
      <c r="K58" s="57"/>
      <c r="L58" s="55">
        <f t="shared" si="7"/>
        <v>0</v>
      </c>
      <c r="M58" s="58"/>
    </row>
    <row r="59" spans="1:13" s="43" customFormat="1" ht="18" customHeight="1">
      <c r="A59" s="215"/>
      <c r="B59" s="215"/>
      <c r="C59" s="61"/>
      <c r="D59" s="61"/>
      <c r="E59" s="62"/>
      <c r="F59" s="62"/>
      <c r="G59" s="62"/>
      <c r="H59" s="62"/>
      <c r="I59" s="55"/>
      <c r="J59" s="55"/>
      <c r="K59" s="57"/>
      <c r="L59" s="55">
        <f t="shared" si="7"/>
        <v>0</v>
      </c>
      <c r="M59" s="58"/>
    </row>
    <row r="60" spans="1:13" s="43" customFormat="1" ht="18" customHeight="1">
      <c r="A60" s="215"/>
      <c r="B60" s="215"/>
      <c r="C60" s="61"/>
      <c r="D60" s="61"/>
      <c r="E60" s="62"/>
      <c r="F60" s="62"/>
      <c r="G60" s="62"/>
      <c r="H60" s="62"/>
      <c r="I60" s="55"/>
      <c r="J60" s="55"/>
      <c r="K60" s="57"/>
      <c r="L60" s="55">
        <f t="shared" si="7"/>
        <v>0</v>
      </c>
      <c r="M60" s="58"/>
    </row>
    <row r="61" spans="1:13" s="43" customFormat="1" ht="18" customHeight="1">
      <c r="A61" s="215"/>
      <c r="B61" s="215"/>
      <c r="C61" s="105"/>
      <c r="D61" s="105"/>
      <c r="E61" s="106"/>
      <c r="F61" s="106"/>
      <c r="G61" s="106"/>
      <c r="H61" s="216" t="s">
        <v>86</v>
      </c>
      <c r="I61" s="216"/>
      <c r="J61" s="107" t="s">
        <v>68</v>
      </c>
      <c r="K61" s="108"/>
      <c r="L61" s="107">
        <f>SUBTOTAL(9,L55:L60)</f>
        <v>0</v>
      </c>
      <c r="M61" s="109"/>
    </row>
    <row r="62" spans="1:13" s="43" customFormat="1" ht="18" customHeight="1">
      <c r="A62" s="221" t="s">
        <v>87</v>
      </c>
      <c r="B62" s="221"/>
      <c r="C62" s="61"/>
      <c r="D62" s="61"/>
      <c r="E62" s="62"/>
      <c r="F62" s="62"/>
      <c r="G62" s="62"/>
      <c r="H62" s="62"/>
      <c r="I62" s="55"/>
      <c r="J62" s="55"/>
      <c r="K62" s="57"/>
      <c r="L62" s="55">
        <f t="shared" ref="L62:L67" si="8">I62*J62</f>
        <v>0</v>
      </c>
      <c r="M62" s="58"/>
    </row>
    <row r="63" spans="1:13" s="43" customFormat="1" ht="18" customHeight="1">
      <c r="A63" s="221"/>
      <c r="B63" s="221"/>
      <c r="C63" s="61"/>
      <c r="D63" s="61"/>
      <c r="E63" s="62"/>
      <c r="F63" s="62"/>
      <c r="G63" s="62"/>
      <c r="H63" s="62"/>
      <c r="I63" s="55"/>
      <c r="J63" s="55"/>
      <c r="K63" s="57"/>
      <c r="L63" s="55">
        <f t="shared" si="8"/>
        <v>0</v>
      </c>
      <c r="M63" s="58"/>
    </row>
    <row r="64" spans="1:13" s="43" customFormat="1" ht="18" customHeight="1">
      <c r="A64" s="221"/>
      <c r="B64" s="221"/>
      <c r="C64" s="61"/>
      <c r="D64" s="61"/>
      <c r="E64" s="62"/>
      <c r="F64" s="62"/>
      <c r="G64" s="62"/>
      <c r="H64" s="62"/>
      <c r="I64" s="55"/>
      <c r="J64" s="55"/>
      <c r="K64" s="57"/>
      <c r="L64" s="55">
        <f t="shared" si="8"/>
        <v>0</v>
      </c>
      <c r="M64" s="58"/>
    </row>
    <row r="65" spans="1:13" s="43" customFormat="1" ht="18" customHeight="1">
      <c r="A65" s="221"/>
      <c r="B65" s="221"/>
      <c r="C65" s="61"/>
      <c r="D65" s="61"/>
      <c r="E65" s="62"/>
      <c r="F65" s="62"/>
      <c r="G65" s="62"/>
      <c r="H65" s="62"/>
      <c r="I65" s="55"/>
      <c r="J65" s="55"/>
      <c r="K65" s="57"/>
      <c r="L65" s="55">
        <f t="shared" si="8"/>
        <v>0</v>
      </c>
      <c r="M65" s="58"/>
    </row>
    <row r="66" spans="1:13" s="43" customFormat="1" ht="18" customHeight="1">
      <c r="A66" s="221"/>
      <c r="B66" s="221"/>
      <c r="C66" s="61"/>
      <c r="D66" s="61"/>
      <c r="E66" s="62"/>
      <c r="F66" s="62"/>
      <c r="G66" s="62"/>
      <c r="H66" s="62"/>
      <c r="I66" s="55"/>
      <c r="J66" s="55"/>
      <c r="K66" s="57"/>
      <c r="L66" s="55">
        <f t="shared" si="8"/>
        <v>0</v>
      </c>
      <c r="M66" s="58"/>
    </row>
    <row r="67" spans="1:13" s="43" customFormat="1" ht="18" customHeight="1">
      <c r="A67" s="221"/>
      <c r="B67" s="221"/>
      <c r="C67" s="61"/>
      <c r="D67" s="61"/>
      <c r="E67" s="62"/>
      <c r="F67" s="62"/>
      <c r="G67" s="62"/>
      <c r="H67" s="62"/>
      <c r="I67" s="55"/>
      <c r="J67" s="55"/>
      <c r="K67" s="57"/>
      <c r="L67" s="55">
        <f t="shared" si="8"/>
        <v>0</v>
      </c>
      <c r="M67" s="58"/>
    </row>
    <row r="68" spans="1:13" s="43" customFormat="1" ht="18" customHeight="1">
      <c r="A68" s="221"/>
      <c r="B68" s="221"/>
      <c r="C68" s="110"/>
      <c r="D68" s="110"/>
      <c r="E68" s="111"/>
      <c r="F68" s="111"/>
      <c r="G68" s="111"/>
      <c r="H68" s="222" t="s">
        <v>88</v>
      </c>
      <c r="I68" s="222"/>
      <c r="J68" s="112" t="s">
        <v>68</v>
      </c>
      <c r="K68" s="113"/>
      <c r="L68" s="112">
        <f>SUBTOTAL(9,L62:L67)</f>
        <v>0</v>
      </c>
      <c r="M68" s="114"/>
    </row>
    <row r="69" spans="1:13" s="43" customFormat="1" ht="18" customHeight="1">
      <c r="A69" s="223" t="s">
        <v>89</v>
      </c>
      <c r="B69" s="223"/>
      <c r="C69" s="61"/>
      <c r="D69" s="61"/>
      <c r="E69" s="62"/>
      <c r="F69" s="62"/>
      <c r="G69" s="62"/>
      <c r="H69" s="62"/>
      <c r="I69" s="55"/>
      <c r="J69" s="55"/>
      <c r="K69" s="57"/>
      <c r="L69" s="55">
        <f>I69*J69</f>
        <v>0</v>
      </c>
      <c r="M69" s="58"/>
    </row>
    <row r="70" spans="1:13" s="43" customFormat="1" ht="18" customHeight="1">
      <c r="A70" s="223"/>
      <c r="B70" s="223"/>
      <c r="C70" s="61"/>
      <c r="D70" s="61"/>
      <c r="E70" s="62"/>
      <c r="F70" s="62"/>
      <c r="G70" s="62"/>
      <c r="H70" s="62"/>
      <c r="I70" s="55"/>
      <c r="J70" s="55"/>
      <c r="K70" s="57"/>
      <c r="L70" s="55">
        <f t="shared" ref="L70:L73" si="9">I70*J70</f>
        <v>0</v>
      </c>
      <c r="M70" s="58"/>
    </row>
    <row r="71" spans="1:13" s="43" customFormat="1" ht="18" customHeight="1">
      <c r="A71" s="223"/>
      <c r="B71" s="223"/>
      <c r="C71" s="61"/>
      <c r="D71" s="61"/>
      <c r="E71" s="62"/>
      <c r="F71" s="62"/>
      <c r="G71" s="62"/>
      <c r="H71" s="62"/>
      <c r="I71" s="55"/>
      <c r="J71" s="55"/>
      <c r="K71" s="57"/>
      <c r="L71" s="55">
        <f t="shared" si="9"/>
        <v>0</v>
      </c>
      <c r="M71" s="58"/>
    </row>
    <row r="72" spans="1:13" s="43" customFormat="1" ht="18" customHeight="1">
      <c r="A72" s="223"/>
      <c r="B72" s="223"/>
      <c r="C72" s="61"/>
      <c r="D72" s="61"/>
      <c r="E72" s="62"/>
      <c r="F72" s="62"/>
      <c r="G72" s="62"/>
      <c r="H72" s="62"/>
      <c r="I72" s="55"/>
      <c r="J72" s="56"/>
      <c r="K72" s="57"/>
      <c r="L72" s="55">
        <f t="shared" si="9"/>
        <v>0</v>
      </c>
      <c r="M72" s="58"/>
    </row>
    <row r="73" spans="1:13" s="43" customFormat="1" ht="18" customHeight="1">
      <c r="A73" s="223"/>
      <c r="B73" s="223"/>
      <c r="C73" s="61"/>
      <c r="D73" s="61"/>
      <c r="E73" s="62"/>
      <c r="F73" s="62"/>
      <c r="G73" s="62"/>
      <c r="H73" s="62"/>
      <c r="I73" s="55"/>
      <c r="J73" s="55"/>
      <c r="K73" s="57"/>
      <c r="L73" s="55">
        <f t="shared" si="9"/>
        <v>0</v>
      </c>
      <c r="M73" s="58"/>
    </row>
    <row r="74" spans="1:13" s="43" customFormat="1" ht="18" customHeight="1">
      <c r="A74" s="223"/>
      <c r="B74" s="223"/>
      <c r="C74" s="61"/>
      <c r="D74" s="61"/>
      <c r="E74" s="62"/>
      <c r="F74" s="62"/>
      <c r="G74" s="62"/>
      <c r="H74" s="62"/>
      <c r="I74" s="55"/>
      <c r="J74" s="55"/>
      <c r="K74" s="57"/>
      <c r="L74" s="55">
        <f>I74*J74</f>
        <v>0</v>
      </c>
      <c r="M74" s="58"/>
    </row>
    <row r="75" spans="1:13" s="43" customFormat="1" ht="18" customHeight="1">
      <c r="A75" s="223"/>
      <c r="B75" s="223"/>
      <c r="C75" s="115"/>
      <c r="D75" s="116"/>
      <c r="E75" s="117"/>
      <c r="F75" s="117"/>
      <c r="G75" s="117"/>
      <c r="H75" s="224" t="s">
        <v>90</v>
      </c>
      <c r="I75" s="224"/>
      <c r="J75" s="118" t="s">
        <v>68</v>
      </c>
      <c r="K75" s="119"/>
      <c r="L75" s="118">
        <f>SUBTOTAL(9,L69:L74)</f>
        <v>0</v>
      </c>
      <c r="M75" s="120"/>
    </row>
    <row r="76" spans="1:13" s="43" customFormat="1" ht="18" customHeight="1">
      <c r="A76" s="225" t="s">
        <v>91</v>
      </c>
      <c r="B76" s="225"/>
      <c r="C76" s="121"/>
      <c r="D76" s="121"/>
      <c r="E76" s="122"/>
      <c r="F76" s="122"/>
      <c r="G76" s="122"/>
      <c r="H76" s="122"/>
      <c r="I76" s="56"/>
      <c r="J76" s="55"/>
      <c r="K76" s="57"/>
      <c r="L76" s="55">
        <f>I76*J76</f>
        <v>0</v>
      </c>
      <c r="M76" s="58"/>
    </row>
    <row r="77" spans="1:13" s="43" customFormat="1" ht="18" customHeight="1">
      <c r="A77" s="225"/>
      <c r="B77" s="225"/>
      <c r="C77" s="121"/>
      <c r="D77" s="121"/>
      <c r="E77" s="122"/>
      <c r="F77" s="122"/>
      <c r="G77" s="122"/>
      <c r="H77" s="122"/>
      <c r="I77" s="56"/>
      <c r="J77" s="55"/>
      <c r="K77" s="57"/>
      <c r="L77" s="55">
        <f>I77*J77</f>
        <v>0</v>
      </c>
      <c r="M77" s="58"/>
    </row>
    <row r="78" spans="1:13" s="43" customFormat="1" ht="18" customHeight="1">
      <c r="A78" s="225"/>
      <c r="B78" s="225"/>
      <c r="C78" s="123"/>
      <c r="D78" s="123"/>
      <c r="E78" s="124"/>
      <c r="F78" s="124"/>
      <c r="G78" s="124"/>
      <c r="H78" s="226" t="s">
        <v>92</v>
      </c>
      <c r="I78" s="226"/>
      <c r="J78" s="125" t="s">
        <v>68</v>
      </c>
      <c r="K78" s="126"/>
      <c r="L78" s="125">
        <f>SUBTOTAL(9,L76:L77)</f>
        <v>0</v>
      </c>
      <c r="M78" s="127"/>
    </row>
    <row r="79" spans="1:13" s="43" customFormat="1" ht="18" customHeight="1" thickBot="1">
      <c r="A79" s="217" t="s">
        <v>93</v>
      </c>
      <c r="B79" s="217"/>
      <c r="C79" s="217"/>
      <c r="D79" s="217"/>
      <c r="E79" s="217"/>
      <c r="F79" s="217"/>
      <c r="G79" s="217"/>
      <c r="H79" s="217"/>
      <c r="I79" s="217"/>
      <c r="J79" s="218"/>
      <c r="K79" s="128">
        <f ca="1">SUBTOTAL(9,K8:K78)</f>
        <v>0</v>
      </c>
      <c r="L79" s="129"/>
      <c r="M79" s="130"/>
    </row>
    <row r="80" spans="1:13" s="43" customFormat="1" ht="18" customHeight="1" thickBot="1">
      <c r="A80" s="219" t="s">
        <v>94</v>
      </c>
      <c r="B80" s="219"/>
      <c r="C80" s="219"/>
      <c r="D80" s="219"/>
      <c r="E80" s="219"/>
      <c r="F80" s="219"/>
      <c r="G80" s="219"/>
      <c r="H80" s="219"/>
      <c r="I80" s="219"/>
      <c r="J80" s="219"/>
      <c r="K80" s="220"/>
      <c r="L80" s="131">
        <f>SUBTOTAL(9,L8:L79)</f>
        <v>0</v>
      </c>
      <c r="M80" s="132"/>
    </row>
    <row r="81" spans="7:7" ht="18" customHeight="1"/>
    <row r="82" spans="7:7" ht="18" customHeight="1">
      <c r="G82" s="133"/>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 priority="1">
      <formula>LEN(TRIM(K8))=0</formula>
    </cfRule>
  </conditionalFormatting>
  <conditionalFormatting sqref="L30:L78">
    <cfRule type="containsBlanks" dxfId="0" priority="2">
      <formula>LEN(TRIM(L30))=0</formula>
    </cfRule>
  </conditionalFormatting>
  <dataValidations count="4">
    <dataValidation type="list" allowBlank="1" sqref="G30:G33 G62:G67 G41:G46 G48:G53 G55:G60 G35:G38 G8:G11 G13:G16 G69:G74 G24:G27 G19:G22" xr:uid="{3C9AC891-A78D-4F42-B82C-D4623DDD4A7B}">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0385B6FE-5EFB-374F-8C86-BF1DD5DF3853}"/>
    <dataValidation imeMode="off" allowBlank="1" showInputMessage="1" showErrorMessage="1" sqref="L80 C41:C78 C6:C17 C30:C39 C19:C28 J6:J78 E6:E78" xr:uid="{B59BD577-81F1-1E44-9F66-972A4D765BDB}"/>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97BA3366-5829-D142-A29E-25D98BD6303D}"/>
  </dataValidations>
  <pageMargins left="0.7" right="0.7" top="0.75" bottom="0.75" header="0.3" footer="0.3"/>
  <pageSetup paperSize="9" scale="4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vt:i4>
      </vt:variant>
      <vt:variant>
        <vt:lpstr>名前付き一覧</vt:lpstr>
      </vt:variant>
      <vt:variant>
        <vt:i4>2</vt:i4>
      </vt:variant>
    </vt:vector>
  </HeadingPairs>
  <TitlesOfParts>
    <vt:vector size="4" baseType="lpstr">
      <vt:lpstr>保険請求管理報告書A</vt:lpstr>
      <vt:lpstr>保険請求管理報告書B</vt:lpstr>
      <vt:lpstr>保険請求管理報告書A!Print_Area</vt:lpstr>
      <vt:lpstr>保険請求管理報告書B!Print_Titles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関根禎浩</dc:creator>
  <cp:lastModifiedBy>関根禎浩</cp:lastModifiedBy>
  <dcterms:created xsi:type="dcterms:W3CDTF">2024-12-13T22:56:08Z</dcterms:created>
  <dcterms:modified xsi:type="dcterms:W3CDTF">2025-03-02T05:26:53Z</dcterms:modified>
</cp:coreProperties>
</file>